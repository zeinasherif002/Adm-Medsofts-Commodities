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Dec-Jan/"/>
    </mc:Choice>
  </mc:AlternateContent>
  <xr:revisionPtr revIDLastSave="1317" documentId="8_{AFCAEB6C-147E-4472-A3AB-607E8F77BA32}" xr6:coauthVersionLast="47" xr6:coauthVersionMax="47" xr10:uidLastSave="{543F944A-4D0B-46B7-9268-2F2E060805FE}"/>
  <bookViews>
    <workbookView xWindow="-110" yWindow="-110" windowWidth="19420" windowHeight="10300" xr2:uid="{ECBE9064-6697-4608-8A07-17622AF5FF71}"/>
  </bookViews>
  <sheets>
    <sheet name="Sn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I29" i="2" s="1"/>
  <c r="E28" i="2"/>
  <c r="G28" i="2"/>
  <c r="I28" i="2"/>
  <c r="E29" i="2" s="1"/>
  <c r="J28" i="2"/>
  <c r="G25" i="2"/>
  <c r="I25" i="2" s="1"/>
  <c r="G14" i="2"/>
  <c r="I14" i="2" s="1"/>
  <c r="G2" i="2"/>
  <c r="I2" i="2"/>
  <c r="J29" i="2" l="1"/>
  <c r="E30" i="2"/>
  <c r="G30" i="2" s="1"/>
  <c r="I30" i="2" s="1"/>
  <c r="E26" i="2"/>
  <c r="G26" i="2" s="1"/>
  <c r="I26" i="2" s="1"/>
  <c r="J25" i="2"/>
  <c r="J14" i="2"/>
  <c r="E15" i="2"/>
  <c r="J30" i="2" l="1"/>
  <c r="E31" i="2"/>
  <c r="G31" i="2" s="1"/>
  <c r="I31" i="2" s="1"/>
  <c r="J31" i="2" s="1"/>
  <c r="J26" i="2"/>
  <c r="E27" i="2"/>
  <c r="G27" i="2" s="1"/>
  <c r="I27" i="2" s="1"/>
  <c r="J27" i="2" s="1"/>
  <c r="G15" i="2"/>
  <c r="I15" i="2" s="1"/>
  <c r="J2" i="2"/>
  <c r="E3" i="2"/>
  <c r="E16" i="2" l="1"/>
  <c r="J15" i="2"/>
  <c r="G3" i="2"/>
  <c r="I3" i="2" s="1"/>
  <c r="J3" i="2" l="1"/>
  <c r="E4" i="2"/>
  <c r="G16" i="2"/>
  <c r="I16" i="2" s="1"/>
  <c r="E17" i="2" l="1"/>
  <c r="J16" i="2"/>
  <c r="G4" i="2"/>
  <c r="I4" i="2" s="1"/>
  <c r="J4" i="2" l="1"/>
  <c r="E5" i="2"/>
  <c r="G17" i="2"/>
  <c r="I17" i="2" s="1"/>
  <c r="E18" i="2" l="1"/>
  <c r="J17" i="2"/>
  <c r="G5" i="2"/>
  <c r="I5" i="2" s="1"/>
  <c r="J5" i="2" l="1"/>
  <c r="E6" i="2"/>
  <c r="G18" i="2"/>
  <c r="I18" i="2" s="1"/>
  <c r="J18" i="2" l="1"/>
  <c r="E19" i="2"/>
  <c r="G19" i="2" s="1"/>
  <c r="I19" i="2" s="1"/>
  <c r="G6" i="2"/>
  <c r="I6" i="2" s="1"/>
  <c r="E7" i="2" l="1"/>
  <c r="J6" i="2"/>
  <c r="J19" i="2"/>
  <c r="E20" i="2"/>
  <c r="G20" i="2" l="1"/>
  <c r="I20" i="2" s="1"/>
  <c r="G7" i="2"/>
  <c r="I7" i="2" s="1"/>
  <c r="J7" i="2" l="1"/>
  <c r="E8" i="2"/>
  <c r="G8" i="2" s="1"/>
  <c r="I8" i="2" s="1"/>
  <c r="E21" i="2"/>
  <c r="J20" i="2"/>
  <c r="G21" i="2" l="1"/>
  <c r="I21" i="2" s="1"/>
  <c r="E9" i="2"/>
  <c r="G9" i="2" s="1"/>
  <c r="I9" i="2" s="1"/>
  <c r="J8" i="2"/>
  <c r="J21" i="2" l="1"/>
  <c r="E22" i="2"/>
  <c r="E10" i="2"/>
  <c r="G10" i="2" s="1"/>
  <c r="I10" i="2" s="1"/>
  <c r="J9" i="2"/>
  <c r="E11" i="2" l="1"/>
  <c r="J10" i="2"/>
  <c r="G22" i="2"/>
  <c r="I22" i="2" s="1"/>
  <c r="E23" i="2" s="1"/>
  <c r="G23" i="2" s="1"/>
  <c r="I23" i="2" s="1"/>
  <c r="J23" i="2" l="1"/>
  <c r="E24" i="2"/>
  <c r="G24" i="2" s="1"/>
  <c r="I24" i="2" s="1"/>
  <c r="J22" i="2"/>
  <c r="G11" i="2"/>
  <c r="I11" i="2" s="1"/>
  <c r="J24" i="2" l="1"/>
  <c r="E12" i="2"/>
  <c r="J11" i="2"/>
  <c r="G12" i="2" l="1"/>
  <c r="I12" i="2" s="1"/>
  <c r="E13" i="2" l="1"/>
  <c r="G13" i="2" s="1"/>
  <c r="I13" i="2" s="1"/>
  <c r="J13" i="2" s="1"/>
  <c r="J12" i="2"/>
</calcChain>
</file>

<file path=xl/sharedStrings.xml><?xml version="1.0" encoding="utf-8"?>
<sst xmlns="http://schemas.openxmlformats.org/spreadsheetml/2006/main" count="20" uniqueCount="20">
  <si>
    <t>Month</t>
  </si>
  <si>
    <t>Local Fees</t>
  </si>
  <si>
    <t>Closing CBOT</t>
  </si>
  <si>
    <t>Dollar Rate</t>
  </si>
  <si>
    <t>Beginning Stock</t>
  </si>
  <si>
    <t>Imports</t>
  </si>
  <si>
    <t>Demand</t>
  </si>
  <si>
    <t>Ending Stock</t>
  </si>
  <si>
    <t>STU</t>
  </si>
  <si>
    <t>Price ARG</t>
  </si>
  <si>
    <t>Price BRZ</t>
  </si>
  <si>
    <t>Basis Average ARG</t>
  </si>
  <si>
    <t>Basis Average BRZ</t>
  </si>
  <si>
    <t>Total Supply</t>
  </si>
  <si>
    <t>Replacement ARG</t>
  </si>
  <si>
    <t>Replacement BRZ</t>
  </si>
  <si>
    <t>Price UKR</t>
  </si>
  <si>
    <t>Basis Average UKR</t>
  </si>
  <si>
    <t>Replacement UKR</t>
  </si>
  <si>
    <t>185,02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</si>
</sst>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EGP]\ #,##0"/>
    <numFmt numFmtId="165" formatCode="&quot;$&quot;#,##0.00"/>
    <numFmt numFmtId="166" formatCode="[$-409]mmm\-yy;@"/>
    <numFmt numFmtId="167" formatCode="[$EGP]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Display"/>
      <family val="1"/>
      <scheme val="major"/>
    </font>
    <font>
      <b/>
      <sz val="11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43" fontId="4" fillId="0" borderId="0" xfId="1" applyFont="1" applyBorder="1"/>
    <xf numFmtId="165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/>
    <xf numFmtId="0" fontId="0" fillId="0" borderId="0" xfId="0" applyAlignment="1">
      <alignment horizontal="center"/>
    </xf>
    <xf numFmtId="167" fontId="0" fillId="0" borderId="1" xfId="0" applyNumberFormat="1" applyBorder="1"/>
    <xf numFmtId="2" fontId="0" fillId="0" borderId="1" xfId="0" applyNumberFormat="1" applyBorder="1"/>
    <xf numFmtId="164" fontId="0" fillId="0" borderId="2" xfId="0" applyNumberFormat="1" applyBorder="1"/>
    <xf numFmtId="0" fontId="0" fillId="0" borderId="1" xfId="0" applyBorder="1"/>
    <xf numFmtId="0" fontId="0" fillId="4" borderId="1" xfId="0" applyFill="1" applyBorder="1"/>
    <xf numFmtId="43" fontId="4" fillId="0" borderId="1" xfId="1" applyFont="1" applyBorder="1"/>
    <xf numFmtId="43" fontId="0" fillId="0" borderId="1" xfId="1" applyFont="1" applyBorder="1"/>
    <xf numFmtId="43" fontId="3" fillId="0" borderId="1" xfId="1" applyFont="1" applyBorder="1"/>
    <xf numFmtId="4" fontId="0" fillId="0" borderId="1" xfId="0" applyNumberFormat="1" applyBorder="1"/>
    <xf numFmtId="43" fontId="0" fillId="0" borderId="3" xfId="1" applyFont="1" applyFill="1" applyBorder="1"/>
    <xf numFmtId="43" fontId="0" fillId="5" borderId="1" xfId="1" applyFont="1" applyFill="1" applyBorder="1"/>
    <xf numFmtId="43" fontId="0" fillId="0" borderId="1" xfId="1" applyFont="1" applyFill="1" applyBorder="1"/>
    <xf numFmtId="17" fontId="0" fillId="6" borderId="1" xfId="0" applyNumberFormat="1" applyFill="1" applyBorder="1"/>
    <xf numFmtId="0" fontId="0" fillId="6" borderId="1" xfId="0" applyFill="1" applyBorder="1"/>
    <xf numFmtId="166" fontId="0" fillId="6" borderId="1" xfId="0" applyNumberFormat="1" applyFill="1" applyBorder="1"/>
    <xf numFmtId="165" fontId="0" fillId="0" borderId="1" xfId="1" applyNumberFormat="1" applyFont="1" applyBorder="1"/>
    <xf numFmtId="165" fontId="0" fillId="0" borderId="1" xfId="1" applyNumberFormat="1" applyFont="1" applyFill="1" applyBorder="1"/>
    <xf numFmtId="0" fontId="5" fillId="0" borderId="1" xfId="0" applyFont="1" applyBorder="1"/>
    <xf numFmtId="0" fontId="0" fillId="0" borderId="1" xfId="0" applyBorder="1" applyAlignment="1">
      <alignment horizontal="right"/>
    </xf>
  </cellXfs>
  <cellStyles count="3">
    <cellStyle name="Comma" xfId="1" builtinId="3"/>
    <cellStyle name="Normal" xfId="0" builtinId="0"/>
    <cellStyle name="Normal 2" xfId="2" xr:uid="{470D9181-02F5-43B2-BA0A-B1C523412D4C}"/>
  </cellStyles>
  <dxfs count="0"/>
  <tableStyles count="0" defaultTableStyle="TableStyleMedium2" defaultPivotStyle="PivotStyleLight16"/>
  <colors>
    <mruColors>
      <color rgb="FF84C8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776D-DAFE-4E6E-A3DE-42325B0617C3}">
  <dimension ref="A1:S36"/>
  <sheetViews>
    <sheetView tabSelected="1" zoomScale="102" zoomScaleNormal="120" workbookViewId="0">
      <pane ySplit="1" topLeftCell="A19" activePane="bottomLeft" state="frozen"/>
      <selection pane="bottomLeft" activeCell="I31" sqref="I31"/>
    </sheetView>
  </sheetViews>
  <sheetFormatPr defaultRowHeight="14.5" x14ac:dyDescent="0.35"/>
  <cols>
    <col min="1" max="1" width="7" bestFit="1" customWidth="1"/>
    <col min="2" max="2" width="9.6328125" bestFit="1" customWidth="1"/>
    <col min="3" max="3" width="12.26953125" bestFit="1" customWidth="1"/>
    <col min="4" max="4" width="9.90625" bestFit="1" customWidth="1"/>
    <col min="5" max="5" width="14.36328125" bestFit="1" customWidth="1"/>
    <col min="6" max="6" width="9.54296875" bestFit="1" customWidth="1"/>
    <col min="7" max="7" width="11" bestFit="1" customWidth="1"/>
    <col min="8" max="8" width="9.54296875" bestFit="1" customWidth="1"/>
    <col min="9" max="9" width="11.81640625" bestFit="1" customWidth="1"/>
    <col min="10" max="10" width="8.453125" bestFit="1" customWidth="1"/>
    <col min="11" max="11" width="13.36328125" bestFit="1" customWidth="1"/>
    <col min="12" max="12" width="16.08984375" bestFit="1" customWidth="1"/>
    <col min="13" max="13" width="15.6328125" bestFit="1" customWidth="1"/>
    <col min="14" max="14" width="13.36328125" bestFit="1" customWidth="1"/>
    <col min="15" max="15" width="15.7265625" bestFit="1" customWidth="1"/>
    <col min="16" max="16" width="15.26953125" bestFit="1" customWidth="1"/>
    <col min="17" max="17" width="13.36328125" bestFit="1" customWidth="1"/>
    <col min="18" max="18" width="17.26953125" bestFit="1" customWidth="1"/>
    <col min="19" max="19" width="16.81640625" bestFit="1" customWidth="1"/>
  </cols>
  <sheetData>
    <row r="1" spans="1:19" x14ac:dyDescent="0.35">
      <c r="A1" s="21" t="s">
        <v>0</v>
      </c>
      <c r="B1" s="7" t="s">
        <v>1</v>
      </c>
      <c r="C1" t="s">
        <v>2</v>
      </c>
      <c r="D1" t="s">
        <v>3</v>
      </c>
      <c r="E1" s="12" t="s">
        <v>4</v>
      </c>
      <c r="F1" s="12" t="s">
        <v>5</v>
      </c>
      <c r="G1" s="12" t="s">
        <v>13</v>
      </c>
      <c r="H1" s="12" t="s">
        <v>6</v>
      </c>
      <c r="I1" s="12" t="s">
        <v>7</v>
      </c>
      <c r="J1" s="12" t="s">
        <v>8</v>
      </c>
      <c r="K1" s="3" t="s">
        <v>9</v>
      </c>
      <c r="L1" s="4" t="s">
        <v>11</v>
      </c>
      <c r="M1" s="4" t="s">
        <v>14</v>
      </c>
      <c r="N1" s="5" t="s">
        <v>10</v>
      </c>
      <c r="O1" s="5" t="s">
        <v>12</v>
      </c>
      <c r="P1" s="5" t="s">
        <v>15</v>
      </c>
      <c r="Q1" s="18" t="s">
        <v>16</v>
      </c>
      <c r="R1" s="18" t="s">
        <v>17</v>
      </c>
      <c r="S1" s="18" t="s">
        <v>18</v>
      </c>
    </row>
    <row r="2" spans="1:19" x14ac:dyDescent="0.35">
      <c r="A2" s="22">
        <v>45292</v>
      </c>
      <c r="B2" s="10">
        <v>380</v>
      </c>
      <c r="C2" s="2">
        <v>451.62096769999999</v>
      </c>
      <c r="D2" s="2">
        <v>60.25</v>
      </c>
      <c r="E2" s="6">
        <v>688000</v>
      </c>
      <c r="F2" s="6">
        <v>775000</v>
      </c>
      <c r="G2" s="6">
        <f t="shared" ref="G2:G13" si="0">E2+F2</f>
        <v>1463000</v>
      </c>
      <c r="H2" s="6">
        <v>749000</v>
      </c>
      <c r="I2" s="6">
        <f>G2-H2</f>
        <v>714000</v>
      </c>
      <c r="J2" s="9">
        <f t="shared" ref="J2:J13" si="1">I2/H2</f>
        <v>0.95327102803738317</v>
      </c>
      <c r="K2" s="8">
        <v>16296.77</v>
      </c>
      <c r="L2" s="14">
        <v>218.18</v>
      </c>
      <c r="M2" s="23">
        <v>180.32</v>
      </c>
      <c r="N2" s="8">
        <v>16296.77</v>
      </c>
      <c r="O2" s="14">
        <v>218.18</v>
      </c>
      <c r="P2" s="23">
        <v>180.32</v>
      </c>
      <c r="Q2" s="8">
        <v>15216.13</v>
      </c>
      <c r="R2" s="19">
        <v>172.01</v>
      </c>
      <c r="S2" s="24">
        <v>107.53</v>
      </c>
    </row>
    <row r="3" spans="1:19" x14ac:dyDescent="0.35">
      <c r="A3" s="22">
        <v>45323</v>
      </c>
      <c r="B3" s="10">
        <v>380</v>
      </c>
      <c r="C3" s="2">
        <v>422.71551720000002</v>
      </c>
      <c r="D3" s="2">
        <v>61.533999999999999</v>
      </c>
      <c r="E3" s="6">
        <f t="shared" ref="E3:E13" si="2">I2</f>
        <v>714000</v>
      </c>
      <c r="F3" s="6">
        <v>830000</v>
      </c>
      <c r="G3" s="6">
        <f t="shared" si="0"/>
        <v>1544000</v>
      </c>
      <c r="H3" s="6">
        <v>433000</v>
      </c>
      <c r="I3" s="6">
        <f t="shared" ref="I3:I12" si="3">G3-H3</f>
        <v>1111000</v>
      </c>
      <c r="J3" s="9">
        <f t="shared" si="1"/>
        <v>2.5658198614318706</v>
      </c>
      <c r="K3" s="8">
        <v>16544.830000000002</v>
      </c>
      <c r="L3" s="14">
        <v>242.66</v>
      </c>
      <c r="M3" s="23">
        <v>168.62</v>
      </c>
      <c r="N3" s="8">
        <v>16544.830000000002</v>
      </c>
      <c r="O3" s="14">
        <v>242.66</v>
      </c>
      <c r="P3" s="23">
        <v>180.32</v>
      </c>
      <c r="Q3" s="8">
        <v>15524.14</v>
      </c>
      <c r="R3" s="19">
        <v>199.88</v>
      </c>
      <c r="S3" s="24">
        <v>85.29</v>
      </c>
    </row>
    <row r="4" spans="1:19" x14ac:dyDescent="0.35">
      <c r="A4" s="22">
        <v>45352</v>
      </c>
      <c r="B4" s="10">
        <v>380</v>
      </c>
      <c r="C4" s="2">
        <v>436.16935480000001</v>
      </c>
      <c r="D4" s="2">
        <v>47.65</v>
      </c>
      <c r="E4" s="6">
        <f t="shared" si="2"/>
        <v>1111000</v>
      </c>
      <c r="F4" s="6">
        <v>330000</v>
      </c>
      <c r="G4" s="6">
        <f t="shared" si="0"/>
        <v>1441000</v>
      </c>
      <c r="H4" s="6">
        <v>720000</v>
      </c>
      <c r="I4" s="6">
        <f t="shared" si="3"/>
        <v>721000</v>
      </c>
      <c r="J4" s="9">
        <f t="shared" si="1"/>
        <v>1.0013888888888889</v>
      </c>
      <c r="K4" s="8">
        <v>12670.97</v>
      </c>
      <c r="L4" s="14">
        <v>219.08</v>
      </c>
      <c r="M4" s="23">
        <v>158.38999999999999</v>
      </c>
      <c r="N4" s="8">
        <v>12670.97</v>
      </c>
      <c r="O4" s="14">
        <v>219.08</v>
      </c>
      <c r="P4" s="23">
        <v>158.38999999999999</v>
      </c>
      <c r="Q4" s="8">
        <v>11254.84</v>
      </c>
      <c r="R4" s="19">
        <v>143.55000000000001</v>
      </c>
      <c r="S4" s="24">
        <v>90.19</v>
      </c>
    </row>
    <row r="5" spans="1:19" x14ac:dyDescent="0.35">
      <c r="A5" s="22">
        <v>45383</v>
      </c>
      <c r="B5" s="10">
        <v>459</v>
      </c>
      <c r="C5" s="2">
        <v>435.26666669999997</v>
      </c>
      <c r="D5" s="2">
        <v>47.923000000000002</v>
      </c>
      <c r="E5" s="6">
        <f t="shared" si="2"/>
        <v>721000</v>
      </c>
      <c r="F5" s="6">
        <v>1020000</v>
      </c>
      <c r="G5" s="6">
        <f t="shared" si="0"/>
        <v>1741000</v>
      </c>
      <c r="H5" s="6">
        <v>800000</v>
      </c>
      <c r="I5" s="6">
        <f t="shared" si="3"/>
        <v>941000</v>
      </c>
      <c r="J5" s="9">
        <f t="shared" si="1"/>
        <v>1.17625</v>
      </c>
      <c r="K5" s="8">
        <v>12430</v>
      </c>
      <c r="L5" s="14">
        <v>199.27</v>
      </c>
      <c r="M5" s="23">
        <v>150</v>
      </c>
      <c r="N5" s="8">
        <v>12430</v>
      </c>
      <c r="O5" s="14">
        <v>199.27</v>
      </c>
      <c r="P5" s="23">
        <v>150</v>
      </c>
      <c r="Q5" s="8">
        <v>11223.33</v>
      </c>
      <c r="R5" s="19">
        <v>135.35</v>
      </c>
      <c r="S5" s="24">
        <v>93.05</v>
      </c>
    </row>
    <row r="6" spans="1:19" x14ac:dyDescent="0.35">
      <c r="A6" s="22">
        <v>45413</v>
      </c>
      <c r="B6" s="10">
        <v>459</v>
      </c>
      <c r="C6" s="2">
        <v>461.14516129999998</v>
      </c>
      <c r="D6" s="2">
        <v>47.398000000000003</v>
      </c>
      <c r="E6" s="6">
        <f t="shared" si="2"/>
        <v>941000</v>
      </c>
      <c r="F6" s="6">
        <v>843000</v>
      </c>
      <c r="G6" s="6">
        <f t="shared" si="0"/>
        <v>1784000</v>
      </c>
      <c r="H6" s="6">
        <v>800000</v>
      </c>
      <c r="I6" s="6">
        <f t="shared" si="3"/>
        <v>984000</v>
      </c>
      <c r="J6" s="9">
        <f t="shared" si="1"/>
        <v>1.23</v>
      </c>
      <c r="K6" s="8">
        <v>12048.39</v>
      </c>
      <c r="L6" s="14">
        <v>159.97</v>
      </c>
      <c r="M6" s="23">
        <v>150</v>
      </c>
      <c r="N6" s="8">
        <v>12048.39</v>
      </c>
      <c r="O6" s="14">
        <v>159.97</v>
      </c>
      <c r="P6" s="23">
        <v>150</v>
      </c>
      <c r="Q6" s="8">
        <v>10690.32</v>
      </c>
      <c r="R6" s="19">
        <v>87.22</v>
      </c>
      <c r="S6" s="24">
        <v>96.1</v>
      </c>
    </row>
    <row r="7" spans="1:19" x14ac:dyDescent="0.35">
      <c r="A7" s="22">
        <v>45444</v>
      </c>
      <c r="B7" s="10">
        <v>459</v>
      </c>
      <c r="C7" s="2">
        <v>439.0083333</v>
      </c>
      <c r="D7" s="2">
        <v>47.898000000000003</v>
      </c>
      <c r="E7" s="6">
        <f t="shared" si="2"/>
        <v>984000</v>
      </c>
      <c r="F7" s="6">
        <v>590000</v>
      </c>
      <c r="G7" s="6">
        <f t="shared" si="0"/>
        <v>1574000</v>
      </c>
      <c r="H7" s="6">
        <v>750000</v>
      </c>
      <c r="I7" s="6">
        <f t="shared" si="3"/>
        <v>824000</v>
      </c>
      <c r="J7" s="9">
        <f t="shared" si="1"/>
        <v>1.0986666666666667</v>
      </c>
      <c r="K7" s="8">
        <v>11926.67</v>
      </c>
      <c r="L7" s="14">
        <v>169.21</v>
      </c>
      <c r="M7" s="23">
        <v>145</v>
      </c>
      <c r="N7" s="8">
        <v>11926.67</v>
      </c>
      <c r="O7" s="14">
        <v>169.21</v>
      </c>
      <c r="P7" s="23">
        <v>135</v>
      </c>
      <c r="Q7" s="8">
        <v>10880</v>
      </c>
      <c r="R7" s="19">
        <v>113.69</v>
      </c>
      <c r="S7" s="24">
        <v>130.66999999999999</v>
      </c>
    </row>
    <row r="8" spans="1:19" x14ac:dyDescent="0.35">
      <c r="A8" s="22">
        <v>45474</v>
      </c>
      <c r="B8" s="10">
        <v>459</v>
      </c>
      <c r="C8" s="2">
        <v>399.6</v>
      </c>
      <c r="D8" s="2">
        <v>48.347999999999999</v>
      </c>
      <c r="E8" s="6">
        <f t="shared" si="2"/>
        <v>824000</v>
      </c>
      <c r="F8" s="6">
        <v>525000</v>
      </c>
      <c r="G8" s="6">
        <f t="shared" si="0"/>
        <v>1349000</v>
      </c>
      <c r="H8" s="6">
        <v>750000</v>
      </c>
      <c r="I8" s="6">
        <f>G8-H8</f>
        <v>599000</v>
      </c>
      <c r="J8" s="9">
        <f t="shared" si="1"/>
        <v>0.79866666666666664</v>
      </c>
      <c r="K8" s="8">
        <v>11429.03</v>
      </c>
      <c r="L8" s="14">
        <v>189.6</v>
      </c>
      <c r="M8" s="23">
        <v>174.3</v>
      </c>
      <c r="N8" s="8">
        <v>11429.03</v>
      </c>
      <c r="O8" s="14">
        <v>189.6</v>
      </c>
      <c r="P8" s="23">
        <v>158.29</v>
      </c>
      <c r="Q8" s="8">
        <v>10696.77</v>
      </c>
      <c r="R8" s="19">
        <v>151.16</v>
      </c>
      <c r="S8" s="24">
        <v>150.21</v>
      </c>
    </row>
    <row r="9" spans="1:19" x14ac:dyDescent="0.35">
      <c r="A9" s="22">
        <v>45505</v>
      </c>
      <c r="B9" s="10">
        <v>459</v>
      </c>
      <c r="C9" s="2">
        <v>396.9916667</v>
      </c>
      <c r="D9" s="2">
        <v>49.015000000000001</v>
      </c>
      <c r="E9" s="6">
        <f t="shared" si="2"/>
        <v>599000</v>
      </c>
      <c r="F9" s="6">
        <v>630000</v>
      </c>
      <c r="G9" s="6">
        <f t="shared" si="0"/>
        <v>1229000</v>
      </c>
      <c r="H9" s="6">
        <v>700000</v>
      </c>
      <c r="I9" s="6">
        <f>G9-H9</f>
        <v>529000</v>
      </c>
      <c r="J9" s="9">
        <f t="shared" si="1"/>
        <v>0.75571428571428567</v>
      </c>
      <c r="K9" s="8">
        <v>11588.71</v>
      </c>
      <c r="L9" s="15">
        <v>192.56</v>
      </c>
      <c r="M9" s="23">
        <v>162.13</v>
      </c>
      <c r="N9" s="8">
        <v>11588.71</v>
      </c>
      <c r="O9" s="14">
        <v>192.56</v>
      </c>
      <c r="P9" s="23">
        <v>162.13</v>
      </c>
      <c r="Q9" s="8">
        <v>10958.06</v>
      </c>
      <c r="R9" s="19">
        <v>159.88999999999999</v>
      </c>
      <c r="S9" s="24">
        <v>182.6</v>
      </c>
    </row>
    <row r="10" spans="1:19" x14ac:dyDescent="0.35">
      <c r="A10" s="22">
        <v>45536</v>
      </c>
      <c r="B10" s="10">
        <v>459</v>
      </c>
      <c r="C10" s="2">
        <v>409.9</v>
      </c>
      <c r="D10" s="2">
        <v>48.561999999999998</v>
      </c>
      <c r="E10" s="6">
        <f t="shared" si="2"/>
        <v>529000</v>
      </c>
      <c r="F10" s="6">
        <v>560000</v>
      </c>
      <c r="G10" s="6">
        <f t="shared" si="0"/>
        <v>1089000</v>
      </c>
      <c r="H10" s="6">
        <v>750000</v>
      </c>
      <c r="I10" s="6">
        <f t="shared" si="3"/>
        <v>339000</v>
      </c>
      <c r="J10" s="9">
        <f t="shared" si="1"/>
        <v>0.45200000000000001</v>
      </c>
      <c r="K10" s="8">
        <v>11693.33</v>
      </c>
      <c r="L10" s="13">
        <v>177.71</v>
      </c>
      <c r="M10" s="23">
        <v>178.9</v>
      </c>
      <c r="N10" s="8">
        <v>11693.33</v>
      </c>
      <c r="O10" s="14">
        <v>177.71</v>
      </c>
      <c r="P10" s="23">
        <v>173.9</v>
      </c>
      <c r="Q10" s="8">
        <v>11113.33</v>
      </c>
      <c r="R10" s="19">
        <v>147.37</v>
      </c>
      <c r="S10" s="24">
        <v>168.21</v>
      </c>
    </row>
    <row r="11" spans="1:19" x14ac:dyDescent="0.35">
      <c r="A11" s="22">
        <v>45566</v>
      </c>
      <c r="B11" s="10">
        <v>500</v>
      </c>
      <c r="C11" s="2">
        <v>415.86290320000001</v>
      </c>
      <c r="D11" s="2">
        <v>48.64</v>
      </c>
      <c r="E11" s="6">
        <f t="shared" si="2"/>
        <v>339000</v>
      </c>
      <c r="F11" s="6">
        <v>1087000</v>
      </c>
      <c r="G11" s="6">
        <f t="shared" si="0"/>
        <v>1426000</v>
      </c>
      <c r="H11" s="6">
        <v>893000</v>
      </c>
      <c r="I11" s="6">
        <f t="shared" si="3"/>
        <v>533000</v>
      </c>
      <c r="J11" s="9">
        <f t="shared" si="1"/>
        <v>0.59686450167973126</v>
      </c>
      <c r="K11" s="8">
        <v>12090.32</v>
      </c>
      <c r="L11" s="13">
        <v>189.42</v>
      </c>
      <c r="M11" s="23">
        <v>195.65</v>
      </c>
      <c r="N11" s="8">
        <v>12090.32</v>
      </c>
      <c r="O11" s="14">
        <v>189.42</v>
      </c>
      <c r="P11" s="23">
        <v>190.65</v>
      </c>
      <c r="Q11" s="8">
        <v>11658.06</v>
      </c>
      <c r="R11" s="19">
        <v>166.83</v>
      </c>
      <c r="S11" s="24">
        <v>195.7</v>
      </c>
    </row>
    <row r="12" spans="1:19" x14ac:dyDescent="0.35">
      <c r="A12" s="22">
        <v>45597</v>
      </c>
      <c r="B12" s="10">
        <v>515</v>
      </c>
      <c r="C12" s="2">
        <v>435.3833333</v>
      </c>
      <c r="D12" s="2">
        <v>49.447000000000003</v>
      </c>
      <c r="E12" s="6">
        <f t="shared" si="2"/>
        <v>533000</v>
      </c>
      <c r="F12" s="6">
        <v>914000</v>
      </c>
      <c r="G12" s="6">
        <f t="shared" si="0"/>
        <v>1447000</v>
      </c>
      <c r="H12" s="6">
        <v>641000</v>
      </c>
      <c r="I12" s="6">
        <f t="shared" si="3"/>
        <v>806000</v>
      </c>
      <c r="J12" s="9">
        <f t="shared" si="1"/>
        <v>1.2574102964118565</v>
      </c>
      <c r="K12" s="8">
        <v>12566.67</v>
      </c>
      <c r="L12" s="13">
        <v>183.66</v>
      </c>
      <c r="M12" s="23">
        <v>197.67</v>
      </c>
      <c r="N12" s="8">
        <v>12582.76</v>
      </c>
      <c r="O12" s="14">
        <v>183.66</v>
      </c>
      <c r="P12" s="23">
        <v>192.67</v>
      </c>
      <c r="Q12" s="8">
        <v>12226.67</v>
      </c>
      <c r="R12" s="19">
        <v>166.21</v>
      </c>
      <c r="S12" s="24">
        <v>157.96</v>
      </c>
    </row>
    <row r="13" spans="1:19" x14ac:dyDescent="0.35">
      <c r="A13" s="22">
        <v>45627</v>
      </c>
      <c r="B13" s="10">
        <v>515</v>
      </c>
      <c r="C13" s="2">
        <v>444.00806449999999</v>
      </c>
      <c r="D13" s="2">
        <v>50.661999999999999</v>
      </c>
      <c r="E13" s="6">
        <f t="shared" si="2"/>
        <v>806000</v>
      </c>
      <c r="F13" s="6">
        <v>1252000</v>
      </c>
      <c r="G13" s="6">
        <f t="shared" si="0"/>
        <v>2058000</v>
      </c>
      <c r="H13" s="6">
        <v>940000</v>
      </c>
      <c r="I13" s="6">
        <f t="shared" ref="I13:I27" si="4">G13-H13</f>
        <v>1118000</v>
      </c>
      <c r="J13" s="9">
        <f t="shared" si="1"/>
        <v>1.1893617021276597</v>
      </c>
      <c r="K13" s="8">
        <v>12872.58</v>
      </c>
      <c r="L13" s="13">
        <v>175.53</v>
      </c>
      <c r="M13" s="23">
        <v>174.45</v>
      </c>
      <c r="N13" s="8">
        <v>12872.58</v>
      </c>
      <c r="O13" s="14">
        <v>175.53</v>
      </c>
      <c r="P13" s="23">
        <v>169.74</v>
      </c>
      <c r="Q13" s="8">
        <v>12458.06</v>
      </c>
      <c r="R13" s="19">
        <v>154.75</v>
      </c>
      <c r="S13" s="24">
        <v>150.72</v>
      </c>
    </row>
    <row r="14" spans="1:19" x14ac:dyDescent="0.35">
      <c r="A14" s="22">
        <v>45658</v>
      </c>
      <c r="B14" s="10">
        <v>515</v>
      </c>
      <c r="C14" s="2">
        <v>473.87903230000001</v>
      </c>
      <c r="D14" s="2">
        <v>50.500999999999998</v>
      </c>
      <c r="E14" s="6">
        <v>1118000</v>
      </c>
      <c r="F14" s="6">
        <v>1190000</v>
      </c>
      <c r="G14" s="6">
        <f>E14+F14</f>
        <v>2308000</v>
      </c>
      <c r="H14" s="6">
        <v>1113000</v>
      </c>
      <c r="I14" s="6">
        <f t="shared" si="4"/>
        <v>1195000</v>
      </c>
      <c r="J14" s="9">
        <f t="shared" ref="J14:J24" si="5">I14/H14</f>
        <v>1.0736747529200359</v>
      </c>
      <c r="K14" s="8">
        <v>13335.48</v>
      </c>
      <c r="L14" s="14">
        <v>170.96</v>
      </c>
      <c r="M14" s="23">
        <v>176.58</v>
      </c>
      <c r="N14" s="8">
        <v>13335.48</v>
      </c>
      <c r="O14" s="14">
        <v>170.96</v>
      </c>
      <c r="P14" s="23">
        <v>175.55</v>
      </c>
      <c r="Q14" s="8">
        <v>12580.65</v>
      </c>
      <c r="R14" s="19">
        <v>132.97</v>
      </c>
      <c r="S14" s="24">
        <v>126.63</v>
      </c>
    </row>
    <row r="15" spans="1:19" x14ac:dyDescent="0.35">
      <c r="A15" s="22">
        <v>45689</v>
      </c>
      <c r="B15" s="10">
        <v>515</v>
      </c>
      <c r="C15" s="2">
        <v>488.6553571</v>
      </c>
      <c r="D15" s="2">
        <v>50.542999999999999</v>
      </c>
      <c r="E15" s="6">
        <f t="shared" ref="E15:E22" si="6">I14</f>
        <v>1195000</v>
      </c>
      <c r="F15" s="6">
        <v>930000</v>
      </c>
      <c r="G15" s="6">
        <f>E15+F15</f>
        <v>2125000</v>
      </c>
      <c r="H15" s="6">
        <v>557000</v>
      </c>
      <c r="I15" s="6">
        <f t="shared" si="4"/>
        <v>1568000</v>
      </c>
      <c r="J15" s="9">
        <f t="shared" si="5"/>
        <v>2.8150807899461401</v>
      </c>
      <c r="K15" s="8">
        <v>13435.71</v>
      </c>
      <c r="L15" s="14">
        <v>160.66999999999999</v>
      </c>
      <c r="M15" s="23">
        <v>182.14</v>
      </c>
      <c r="N15" s="8">
        <v>13435.71</v>
      </c>
      <c r="O15" s="14">
        <v>160.66999999999999</v>
      </c>
      <c r="P15" s="23">
        <v>180.71</v>
      </c>
      <c r="Q15" s="8">
        <v>12546.43</v>
      </c>
      <c r="R15" s="19">
        <v>235.67</v>
      </c>
      <c r="S15" s="24">
        <v>120.45</v>
      </c>
    </row>
    <row r="16" spans="1:19" x14ac:dyDescent="0.35">
      <c r="A16" s="22">
        <v>45717</v>
      </c>
      <c r="B16" s="10">
        <v>515</v>
      </c>
      <c r="C16" s="2">
        <v>461.21774190000002</v>
      </c>
      <c r="D16" s="2">
        <v>50.664000000000001</v>
      </c>
      <c r="E16" s="6">
        <f t="shared" si="6"/>
        <v>1568000</v>
      </c>
      <c r="F16" s="6">
        <v>573000</v>
      </c>
      <c r="G16" s="6">
        <f>E16+F16</f>
        <v>2141000</v>
      </c>
      <c r="H16" s="6">
        <v>1033000</v>
      </c>
      <c r="I16" s="6">
        <f t="shared" si="4"/>
        <v>1108000</v>
      </c>
      <c r="J16" s="9">
        <f t="shared" si="5"/>
        <v>1.0726040658276863</v>
      </c>
      <c r="K16" s="8">
        <v>13117.74</v>
      </c>
      <c r="L16" s="14">
        <v>170.75466969999999</v>
      </c>
      <c r="M16" s="23">
        <v>186.32</v>
      </c>
      <c r="N16" s="8">
        <v>13117.74</v>
      </c>
      <c r="O16" s="14">
        <v>170.75</v>
      </c>
      <c r="P16" s="23">
        <v>186.32</v>
      </c>
      <c r="Q16" s="8">
        <v>12774.19</v>
      </c>
      <c r="R16" s="19">
        <v>153.87881010000001</v>
      </c>
      <c r="S16" s="24">
        <v>180.34</v>
      </c>
    </row>
    <row r="17" spans="1:19" x14ac:dyDescent="0.35">
      <c r="A17" s="22">
        <v>45748</v>
      </c>
      <c r="B17" s="10">
        <v>515</v>
      </c>
      <c r="C17" s="2">
        <v>482.1166667</v>
      </c>
      <c r="D17" s="2">
        <v>51.067999999999998</v>
      </c>
      <c r="E17" s="6">
        <f t="shared" si="6"/>
        <v>1108000</v>
      </c>
      <c r="F17" s="6">
        <v>417000</v>
      </c>
      <c r="G17" s="6">
        <f>E17+F17</f>
        <v>1525000</v>
      </c>
      <c r="H17" s="6">
        <v>685000</v>
      </c>
      <c r="I17" s="6">
        <f t="shared" si="4"/>
        <v>840000</v>
      </c>
      <c r="J17" s="9">
        <f t="shared" si="5"/>
        <v>1.2262773722627738</v>
      </c>
      <c r="K17" s="8">
        <v>13841.67</v>
      </c>
      <c r="L17" s="14">
        <v>180.7</v>
      </c>
      <c r="M17" s="23">
        <v>191.17</v>
      </c>
      <c r="N17" s="8">
        <v>13841.67</v>
      </c>
      <c r="O17" s="14">
        <v>180.7</v>
      </c>
      <c r="P17" s="23">
        <v>191.17</v>
      </c>
      <c r="Q17" s="8">
        <v>13501.67</v>
      </c>
      <c r="R17" s="19">
        <v>163.81</v>
      </c>
      <c r="S17" s="24">
        <v>175.58</v>
      </c>
    </row>
    <row r="18" spans="1:19" x14ac:dyDescent="0.35">
      <c r="A18" s="22">
        <v>45778</v>
      </c>
      <c r="B18" s="10">
        <v>515</v>
      </c>
      <c r="C18" s="2">
        <v>453.34677420000003</v>
      </c>
      <c r="D18" s="2">
        <v>50.292000000000002</v>
      </c>
      <c r="E18" s="6">
        <f t="shared" si="6"/>
        <v>840000</v>
      </c>
      <c r="F18" s="6">
        <v>520000</v>
      </c>
      <c r="G18" s="6">
        <f>E18+F18</f>
        <v>1360000</v>
      </c>
      <c r="H18" s="6">
        <v>849000</v>
      </c>
      <c r="I18" s="6">
        <f t="shared" si="4"/>
        <v>511000</v>
      </c>
      <c r="J18" s="9">
        <f t="shared" si="5"/>
        <v>0.60188457008244989</v>
      </c>
      <c r="K18" s="8">
        <v>13551.61</v>
      </c>
      <c r="L18" s="14">
        <v>205.05</v>
      </c>
      <c r="M18" s="23">
        <v>185.32</v>
      </c>
      <c r="N18" s="8">
        <v>13551.61</v>
      </c>
      <c r="O18" s="14">
        <v>205.05</v>
      </c>
      <c r="P18" s="23">
        <v>175.68</v>
      </c>
      <c r="Q18" s="8">
        <v>13400</v>
      </c>
      <c r="R18" s="19">
        <v>197.41</v>
      </c>
      <c r="S18" s="24">
        <v>200.46</v>
      </c>
    </row>
    <row r="19" spans="1:19" x14ac:dyDescent="0.35">
      <c r="A19" s="22">
        <v>45809</v>
      </c>
      <c r="B19" s="10">
        <v>510</v>
      </c>
      <c r="C19" s="2">
        <v>431.85</v>
      </c>
      <c r="D19" s="2">
        <v>50.033999999999999</v>
      </c>
      <c r="E19" s="6">
        <f t="shared" si="6"/>
        <v>511000</v>
      </c>
      <c r="F19" s="6">
        <v>762000</v>
      </c>
      <c r="G19" s="6">
        <f t="shared" ref="G19" si="7">E19+F19</f>
        <v>1273000</v>
      </c>
      <c r="H19" s="6">
        <v>870000</v>
      </c>
      <c r="I19" s="6">
        <f t="shared" si="4"/>
        <v>403000</v>
      </c>
      <c r="J19" s="9">
        <f t="shared" si="5"/>
        <v>0.4632183908045977</v>
      </c>
      <c r="K19" s="8">
        <v>13710</v>
      </c>
      <c r="L19" s="14">
        <v>238.21</v>
      </c>
      <c r="M19" s="23">
        <v>187.83</v>
      </c>
      <c r="N19" s="8">
        <v>13710</v>
      </c>
      <c r="O19" s="14">
        <v>238.21</v>
      </c>
      <c r="P19" s="23">
        <v>155.66999999999999</v>
      </c>
      <c r="Q19" s="8">
        <v>13435</v>
      </c>
      <c r="R19" s="19">
        <v>224.29</v>
      </c>
      <c r="S19" s="24">
        <v>203.15</v>
      </c>
    </row>
    <row r="20" spans="1:19" x14ac:dyDescent="0.35">
      <c r="A20" s="22">
        <v>45839</v>
      </c>
      <c r="B20" s="10">
        <v>510</v>
      </c>
      <c r="C20" s="2">
        <v>403.40322579999997</v>
      </c>
      <c r="D20" s="2">
        <v>49.316000000000003</v>
      </c>
      <c r="E20" s="6">
        <f t="shared" si="6"/>
        <v>403000</v>
      </c>
      <c r="F20" s="6">
        <v>848000</v>
      </c>
      <c r="G20" s="6">
        <f t="shared" ref="G20:G25" si="8">E20+F20</f>
        <v>1251000</v>
      </c>
      <c r="H20" s="6">
        <v>966000</v>
      </c>
      <c r="I20" s="6">
        <f t="shared" si="4"/>
        <v>285000</v>
      </c>
      <c r="J20" s="9">
        <f t="shared" si="5"/>
        <v>0.29503105590062112</v>
      </c>
      <c r="K20" s="8">
        <v>14080.65</v>
      </c>
      <c r="L20" s="14">
        <v>295.68</v>
      </c>
      <c r="M20" s="23">
        <v>206.61</v>
      </c>
      <c r="N20" s="8">
        <v>14080.65</v>
      </c>
      <c r="O20" s="14">
        <v>295.68</v>
      </c>
      <c r="P20" s="23">
        <v>201.61</v>
      </c>
      <c r="Q20" s="8">
        <v>13635.48</v>
      </c>
      <c r="R20" s="19">
        <v>272.77</v>
      </c>
      <c r="S20" s="24">
        <v>290.02</v>
      </c>
    </row>
    <row r="21" spans="1:19" x14ac:dyDescent="0.35">
      <c r="A21" s="22">
        <v>45870</v>
      </c>
      <c r="B21" s="10">
        <v>510</v>
      </c>
      <c r="C21" s="2">
        <v>388.90322579999997</v>
      </c>
      <c r="D21" s="2">
        <v>48.527999999999999</v>
      </c>
      <c r="E21" s="6">
        <f t="shared" si="6"/>
        <v>285000</v>
      </c>
      <c r="F21" s="6">
        <v>782000</v>
      </c>
      <c r="G21" s="6">
        <f t="shared" si="8"/>
        <v>1067000</v>
      </c>
      <c r="H21" s="6">
        <v>812000</v>
      </c>
      <c r="I21" s="6">
        <f t="shared" si="4"/>
        <v>255000</v>
      </c>
      <c r="J21" s="9">
        <f t="shared" si="5"/>
        <v>0.31403940886699505</v>
      </c>
      <c r="K21" s="8">
        <v>14325.81</v>
      </c>
      <c r="L21" s="14">
        <v>334.32</v>
      </c>
      <c r="M21" s="23">
        <v>223.94</v>
      </c>
      <c r="N21" s="8">
        <v>14325.81</v>
      </c>
      <c r="O21" s="14">
        <v>334.32</v>
      </c>
      <c r="P21" s="23">
        <v>218.94</v>
      </c>
      <c r="Q21" s="8">
        <v>13990.32</v>
      </c>
      <c r="R21" s="19">
        <v>316.76</v>
      </c>
      <c r="S21" s="24">
        <v>270.11</v>
      </c>
    </row>
    <row r="22" spans="1:19" x14ac:dyDescent="0.35">
      <c r="A22" s="22">
        <v>45901</v>
      </c>
      <c r="B22" s="10">
        <v>510</v>
      </c>
      <c r="C22" s="2">
        <v>422.4375</v>
      </c>
      <c r="D22" s="2">
        <v>48.384</v>
      </c>
      <c r="E22" s="6">
        <f t="shared" si="6"/>
        <v>255000</v>
      </c>
      <c r="F22" s="6">
        <v>1454000</v>
      </c>
      <c r="G22" s="6">
        <f t="shared" si="8"/>
        <v>1709000</v>
      </c>
      <c r="H22" s="6">
        <v>1193000</v>
      </c>
      <c r="I22" s="6">
        <f t="shared" si="4"/>
        <v>516000</v>
      </c>
      <c r="J22" s="9">
        <f t="shared" si="5"/>
        <v>0.432523051131601</v>
      </c>
      <c r="K22" s="8">
        <v>13150</v>
      </c>
      <c r="L22" s="14">
        <v>241.2</v>
      </c>
      <c r="M22" s="23">
        <v>202</v>
      </c>
      <c r="N22" s="8">
        <v>13150</v>
      </c>
      <c r="O22" s="14">
        <v>241.2</v>
      </c>
      <c r="P22" s="23">
        <v>197</v>
      </c>
      <c r="Q22" s="8">
        <v>12566.67</v>
      </c>
      <c r="R22" s="19">
        <v>211.24</v>
      </c>
      <c r="S22" s="24">
        <v>186.85</v>
      </c>
    </row>
    <row r="23" spans="1:19" x14ac:dyDescent="0.35">
      <c r="A23" s="20">
        <v>45931</v>
      </c>
      <c r="B23" s="10">
        <v>510</v>
      </c>
      <c r="C23" s="2">
        <v>425</v>
      </c>
      <c r="D23" s="2">
        <v>47.6</v>
      </c>
      <c r="E23" s="6">
        <f>I22</f>
        <v>516000</v>
      </c>
      <c r="F23" s="6">
        <v>1500000</v>
      </c>
      <c r="G23" s="6">
        <f t="shared" si="8"/>
        <v>2016000</v>
      </c>
      <c r="H23" s="6">
        <v>1060000</v>
      </c>
      <c r="I23" s="6">
        <f t="shared" si="4"/>
        <v>956000</v>
      </c>
      <c r="J23" s="9">
        <f t="shared" si="5"/>
        <v>0.90188679245283021</v>
      </c>
      <c r="K23" s="8">
        <v>11632</v>
      </c>
      <c r="L23" s="17">
        <v>188.49</v>
      </c>
      <c r="M23" s="23">
        <v>190.42</v>
      </c>
      <c r="N23" s="8">
        <v>11630</v>
      </c>
      <c r="O23" s="14">
        <v>188.49</v>
      </c>
      <c r="P23" s="23">
        <v>185.42</v>
      </c>
      <c r="Q23" s="8">
        <v>11641.94</v>
      </c>
      <c r="R23" s="19">
        <v>240.9</v>
      </c>
      <c r="S23" s="24">
        <v>172.48</v>
      </c>
    </row>
    <row r="24" spans="1:19" x14ac:dyDescent="0.35">
      <c r="A24" s="20">
        <v>45962</v>
      </c>
      <c r="B24" s="10">
        <v>510</v>
      </c>
      <c r="C24" s="2">
        <v>427.95133329999999</v>
      </c>
      <c r="D24" s="2">
        <v>47.254333330000001</v>
      </c>
      <c r="E24" s="6">
        <f>I23</f>
        <v>956000</v>
      </c>
      <c r="F24" s="6">
        <v>1230000</v>
      </c>
      <c r="G24" s="6">
        <f t="shared" si="8"/>
        <v>2186000</v>
      </c>
      <c r="H24" s="6">
        <v>796000</v>
      </c>
      <c r="I24" s="6">
        <f t="shared" si="4"/>
        <v>1390000</v>
      </c>
      <c r="J24" s="9">
        <f t="shared" si="5"/>
        <v>1.7462311557788945</v>
      </c>
      <c r="K24" s="8">
        <v>11767.383669999999</v>
      </c>
      <c r="L24" s="17">
        <v>175.89</v>
      </c>
      <c r="M24" s="23">
        <v>197.73</v>
      </c>
      <c r="N24" s="8">
        <v>11768.821669999999</v>
      </c>
      <c r="O24" s="17">
        <v>175.89</v>
      </c>
      <c r="P24" s="23">
        <v>192.73</v>
      </c>
      <c r="Q24" s="8">
        <v>11743.33</v>
      </c>
      <c r="R24" s="19">
        <v>242.3</v>
      </c>
      <c r="S24" s="24">
        <v>170.54</v>
      </c>
    </row>
    <row r="25" spans="1:19" x14ac:dyDescent="0.35">
      <c r="A25" s="20">
        <v>45992</v>
      </c>
      <c r="B25" s="10">
        <v>510</v>
      </c>
      <c r="C25" s="2">
        <v>447</v>
      </c>
      <c r="D25" s="2">
        <v>47.6</v>
      </c>
      <c r="E25" s="6">
        <v>1388000</v>
      </c>
      <c r="F25" s="6">
        <v>1306000</v>
      </c>
      <c r="G25" s="6">
        <f t="shared" si="8"/>
        <v>2694000</v>
      </c>
      <c r="H25" s="6">
        <v>1025000</v>
      </c>
      <c r="I25" s="6">
        <f t="shared" si="4"/>
        <v>1669000</v>
      </c>
      <c r="J25" s="9">
        <f t="shared" ref="J25:J31" si="9">I25/H25</f>
        <v>1.6282926829268292</v>
      </c>
      <c r="K25" s="8">
        <v>11983.51</v>
      </c>
      <c r="L25" s="17">
        <v>165.07</v>
      </c>
      <c r="M25" s="23">
        <v>203.23</v>
      </c>
      <c r="N25" s="8">
        <v>11984.84</v>
      </c>
      <c r="O25" s="14">
        <v>203.23</v>
      </c>
      <c r="P25" s="23">
        <v>198.23</v>
      </c>
      <c r="Q25" s="8">
        <v>11830.65</v>
      </c>
      <c r="R25" s="19">
        <v>240.98</v>
      </c>
      <c r="S25" s="24">
        <v>159.74</v>
      </c>
    </row>
    <row r="26" spans="1:19" x14ac:dyDescent="0.35">
      <c r="A26" s="20">
        <v>46048</v>
      </c>
      <c r="B26" s="10">
        <v>510</v>
      </c>
      <c r="C26" s="2">
        <v>426</v>
      </c>
      <c r="D26" s="2">
        <v>47.25</v>
      </c>
      <c r="E26" s="6">
        <f t="shared" ref="E26:E31" si="10">I25</f>
        <v>1669000</v>
      </c>
      <c r="F26" s="6">
        <v>1203000</v>
      </c>
      <c r="G26" s="6">
        <f t="shared" ref="G26:G31" si="11">E26+F26</f>
        <v>2872000</v>
      </c>
      <c r="H26" s="6">
        <v>1327000</v>
      </c>
      <c r="I26" s="6">
        <f t="shared" si="4"/>
        <v>1545000</v>
      </c>
      <c r="J26" s="16">
        <f t="shared" si="9"/>
        <v>1.1642803315749812</v>
      </c>
      <c r="K26" s="8">
        <v>12120</v>
      </c>
      <c r="L26" s="11">
        <v>191.85</v>
      </c>
      <c r="M26" s="2">
        <v>203.71</v>
      </c>
      <c r="N26" s="8">
        <v>12120</v>
      </c>
      <c r="O26" s="13">
        <v>191.85</v>
      </c>
      <c r="P26" s="2">
        <v>206.16</v>
      </c>
      <c r="Q26" s="8">
        <v>11925</v>
      </c>
      <c r="R26" s="19">
        <v>239.16</v>
      </c>
      <c r="S26" s="24">
        <v>184.25</v>
      </c>
    </row>
    <row r="27" spans="1:19" x14ac:dyDescent="0.35">
      <c r="A27" s="20">
        <v>46079</v>
      </c>
      <c r="B27" s="10">
        <v>510</v>
      </c>
      <c r="C27" s="2">
        <v>434.46</v>
      </c>
      <c r="D27" s="2">
        <v>47.148400000000002</v>
      </c>
      <c r="E27" s="6">
        <f t="shared" si="10"/>
        <v>1545000</v>
      </c>
      <c r="F27" s="6">
        <v>355000</v>
      </c>
      <c r="G27" s="6">
        <f t="shared" si="11"/>
        <v>1900000</v>
      </c>
      <c r="H27" s="6">
        <v>750000</v>
      </c>
      <c r="I27" s="6">
        <f t="shared" si="4"/>
        <v>1150000</v>
      </c>
      <c r="J27" s="16">
        <f t="shared" si="9"/>
        <v>1.5333333333333334</v>
      </c>
      <c r="K27" s="8">
        <v>12430</v>
      </c>
      <c r="L27" s="11">
        <v>202.84</v>
      </c>
      <c r="M27" s="2">
        <v>213.93</v>
      </c>
      <c r="N27" s="8">
        <v>12430</v>
      </c>
      <c r="O27" s="13">
        <v>202.84</v>
      </c>
      <c r="P27" s="2">
        <v>214.36</v>
      </c>
      <c r="Q27" s="8">
        <v>11896</v>
      </c>
      <c r="R27" s="19">
        <v>239.35</v>
      </c>
      <c r="S27" s="24">
        <v>184.25</v>
      </c>
    </row>
    <row r="28" spans="1:19" x14ac:dyDescent="0.35">
      <c r="A28" s="20">
        <v>46107</v>
      </c>
      <c r="B28" s="10">
        <v>510</v>
      </c>
      <c r="C28" s="2">
        <v>434.46</v>
      </c>
      <c r="D28" s="2">
        <v>50</v>
      </c>
      <c r="E28" s="6">
        <f t="shared" si="10"/>
        <v>1150000</v>
      </c>
      <c r="F28" s="6">
        <v>826000</v>
      </c>
      <c r="G28" s="6">
        <f t="shared" si="11"/>
        <v>1976000</v>
      </c>
      <c r="H28" s="6">
        <v>1093000</v>
      </c>
      <c r="I28" s="6">
        <f t="shared" ref="I28:I31" si="12">G28-H28</f>
        <v>883000</v>
      </c>
      <c r="J28" s="16">
        <f t="shared" si="9"/>
        <v>0.80786825251601102</v>
      </c>
      <c r="K28" s="8">
        <v>14268</v>
      </c>
      <c r="L28" s="11">
        <v>212.58</v>
      </c>
      <c r="M28" s="2">
        <v>215.1</v>
      </c>
      <c r="N28" s="8">
        <v>14268</v>
      </c>
      <c r="O28" s="11">
        <v>212.58</v>
      </c>
      <c r="P28" s="2">
        <v>215.1</v>
      </c>
      <c r="Q28" s="8">
        <v>13351.61</v>
      </c>
      <c r="R28" s="19">
        <v>168.35</v>
      </c>
      <c r="S28" s="24">
        <v>244.39</v>
      </c>
    </row>
    <row r="29" spans="1:19" x14ac:dyDescent="0.35">
      <c r="A29" s="20">
        <v>46138</v>
      </c>
      <c r="B29" s="10">
        <v>515</v>
      </c>
      <c r="C29" s="2">
        <v>461</v>
      </c>
      <c r="D29" s="2">
        <v>53</v>
      </c>
      <c r="E29" s="6">
        <f t="shared" si="10"/>
        <v>883000</v>
      </c>
      <c r="F29" s="6">
        <v>1634000</v>
      </c>
      <c r="G29" s="6">
        <f t="shared" si="11"/>
        <v>2517000</v>
      </c>
      <c r="H29" s="6">
        <v>1044000</v>
      </c>
      <c r="I29" s="6">
        <f t="shared" si="12"/>
        <v>1473000</v>
      </c>
      <c r="J29" s="16">
        <f t="shared" si="9"/>
        <v>1.4109195402298851</v>
      </c>
      <c r="K29" s="8">
        <v>14600</v>
      </c>
      <c r="L29" s="11">
        <v>222</v>
      </c>
      <c r="M29" s="2">
        <v>247</v>
      </c>
      <c r="N29" s="8">
        <v>14600</v>
      </c>
      <c r="O29" s="13">
        <v>222</v>
      </c>
      <c r="P29" s="2">
        <v>247</v>
      </c>
      <c r="Q29" s="8">
        <v>14000</v>
      </c>
      <c r="R29" s="25">
        <v>176.13</v>
      </c>
      <c r="S29" s="24">
        <v>190</v>
      </c>
    </row>
    <row r="30" spans="1:19" x14ac:dyDescent="0.35">
      <c r="A30" s="20">
        <v>46168</v>
      </c>
      <c r="B30" s="10">
        <v>550</v>
      </c>
      <c r="C30" s="2">
        <v>444</v>
      </c>
      <c r="D30" s="2">
        <v>52</v>
      </c>
      <c r="E30" s="6">
        <f t="shared" si="10"/>
        <v>1473000</v>
      </c>
      <c r="F30" s="6">
        <v>690000</v>
      </c>
      <c r="G30" s="6">
        <f t="shared" si="11"/>
        <v>2163000</v>
      </c>
      <c r="H30" s="6">
        <v>632000</v>
      </c>
      <c r="I30" s="6">
        <f t="shared" si="12"/>
        <v>1531000</v>
      </c>
      <c r="J30" s="16">
        <f t="shared" si="9"/>
        <v>2.4224683544303796</v>
      </c>
      <c r="K30" s="8">
        <v>13912.9</v>
      </c>
      <c r="L30" s="26" t="s">
        <v>19</v>
      </c>
      <c r="M30" s="2">
        <v>232</v>
      </c>
      <c r="N30" s="8">
        <v>13912.9</v>
      </c>
      <c r="O30" s="13">
        <v>185.71</v>
      </c>
      <c r="P30" s="2">
        <v>212</v>
      </c>
      <c r="Q30" s="19"/>
      <c r="R30" s="19"/>
      <c r="S30" s="19"/>
    </row>
    <row r="31" spans="1:19" x14ac:dyDescent="0.35">
      <c r="A31" s="20">
        <v>46199</v>
      </c>
      <c r="B31" s="10">
        <v>550</v>
      </c>
      <c r="C31" s="2">
        <v>420</v>
      </c>
      <c r="D31" s="2">
        <v>52</v>
      </c>
      <c r="E31" s="6">
        <f t="shared" si="10"/>
        <v>1531000</v>
      </c>
      <c r="F31" s="6">
        <v>680000</v>
      </c>
      <c r="G31" s="6">
        <f t="shared" si="11"/>
        <v>2211000</v>
      </c>
      <c r="H31" s="6">
        <v>850000</v>
      </c>
      <c r="I31" s="6">
        <f t="shared" si="12"/>
        <v>1361000</v>
      </c>
      <c r="J31" s="16">
        <f t="shared" si="9"/>
        <v>1.6011764705882352</v>
      </c>
      <c r="K31" s="8"/>
      <c r="M31" s="11"/>
      <c r="N31" s="8"/>
      <c r="O31" s="13"/>
      <c r="P31" s="11"/>
      <c r="Q31" s="19"/>
      <c r="R31" s="19"/>
      <c r="S31" s="19"/>
    </row>
    <row r="32" spans="1:19" x14ac:dyDescent="0.35">
      <c r="A32" s="11"/>
      <c r="B32" s="11"/>
      <c r="C32" s="11"/>
      <c r="D32" s="11"/>
      <c r="E32" s="6"/>
      <c r="F32" s="6"/>
      <c r="G32" s="6"/>
      <c r="H32" s="6"/>
      <c r="I32" s="11"/>
      <c r="J32" s="11"/>
      <c r="K32" s="8"/>
      <c r="L32" s="11"/>
      <c r="M32" s="11"/>
      <c r="N32" s="8"/>
      <c r="O32" s="13"/>
      <c r="P32" s="11"/>
      <c r="Q32" s="19"/>
      <c r="R32" s="19"/>
      <c r="S32" s="19"/>
    </row>
    <row r="33" spans="5:15" x14ac:dyDescent="0.35">
      <c r="E33" s="6"/>
      <c r="F33" s="6"/>
      <c r="G33" s="6"/>
      <c r="H33" s="6"/>
      <c r="O33" s="1"/>
    </row>
    <row r="34" spans="5:15" x14ac:dyDescent="0.35">
      <c r="O34" s="1"/>
    </row>
    <row r="35" spans="5:15" x14ac:dyDescent="0.35">
      <c r="O35" s="1"/>
    </row>
    <row r="36" spans="5:15" x14ac:dyDescent="0.35">
      <c r="O3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</vt:lpstr>
    </vt:vector>
  </TitlesOfParts>
  <Manager/>
  <Company>Archer Daniels Midland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Sherif, Zeina</dc:creator>
  <cp:keywords/>
  <dc:description/>
  <cp:lastModifiedBy>Sherif, Zeina</cp:lastModifiedBy>
  <cp:revision/>
  <dcterms:created xsi:type="dcterms:W3CDTF">2025-10-12T07:20:39Z</dcterms:created>
  <dcterms:modified xsi:type="dcterms:W3CDTF">2026-06-30T10:55:26Z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2025-10-12T08:01:59Z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c9f8f426-1fea-4648-a05c-e5de9a2afcca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