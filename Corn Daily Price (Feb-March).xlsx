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dm-my.sharepoint.com/personal/zeina_sherif_adm-medsofts_com/Documents/Documents/Commodity/Corn/Local/Model Daily/OUTPUT/"/>
    </mc:Choice>
  </mc:AlternateContent>
  <xr:revisionPtr revIDLastSave="58" documentId="13_ncr:1_{86E448AD-ED80-4B59-93BB-9F21A145E5EC}" xr6:coauthVersionLast="47" xr6:coauthVersionMax="47" xr10:uidLastSave="{1D9F54AB-7C8A-4032-B456-C0FC017636DF}"/>
  <bookViews>
    <workbookView xWindow="-110" yWindow="-110" windowWidth="19420" windowHeight="10300" activeTab="4" xr2:uid="{00000000-000D-0000-FFFF-FFFF00000000}"/>
  </bookViews>
  <sheets>
    <sheet name="Open" sheetId="1" r:id="rId1"/>
    <sheet name="High" sheetId="2" r:id="rId2"/>
    <sheet name="Low" sheetId="3" r:id="rId3"/>
    <sheet name="Close" sheetId="4" r:id="rId4"/>
    <sheet name="Average Da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J3" i="5"/>
  <c r="J4" i="5"/>
  <c r="J5" i="5"/>
  <c r="J6" i="5"/>
  <c r="J7" i="5"/>
  <c r="J8" i="5"/>
  <c r="J9" i="5"/>
  <c r="J10" i="5"/>
  <c r="J11" i="5"/>
  <c r="G3" i="5"/>
  <c r="G4" i="5"/>
  <c r="G5" i="5"/>
  <c r="G6" i="5"/>
  <c r="G7" i="5"/>
  <c r="G8" i="5"/>
  <c r="G9" i="5"/>
  <c r="G10" i="5"/>
  <c r="G11" i="5"/>
  <c r="F3" i="5"/>
  <c r="F4" i="5"/>
  <c r="F5" i="5"/>
  <c r="F6" i="5"/>
  <c r="F7" i="5"/>
  <c r="F8" i="5"/>
  <c r="F9" i="5"/>
  <c r="F10" i="5"/>
  <c r="F11" i="5"/>
  <c r="K2" i="5"/>
  <c r="G2" i="5"/>
  <c r="J2" i="5"/>
  <c r="F2" i="5"/>
  <c r="B2" i="5"/>
  <c r="C3" i="5"/>
  <c r="C4" i="5"/>
  <c r="C5" i="5"/>
  <c r="C6" i="5"/>
  <c r="C7" i="5"/>
  <c r="C8" i="5"/>
  <c r="C9" i="5"/>
  <c r="C10" i="5"/>
  <c r="C11" i="5"/>
  <c r="B3" i="5"/>
  <c r="B4" i="5"/>
  <c r="B5" i="5"/>
  <c r="B6" i="5"/>
  <c r="B7" i="5"/>
  <c r="B8" i="5"/>
  <c r="B9" i="5"/>
  <c r="B10" i="5"/>
  <c r="B11" i="5"/>
  <c r="C2" i="5"/>
</calcChain>
</file>

<file path=xl/sharedStrings.xml><?xml version="1.0" encoding="utf-8"?>
<sst xmlns="http://schemas.openxmlformats.org/spreadsheetml/2006/main" count="32" uniqueCount="24">
  <si>
    <t>Date</t>
  </si>
  <si>
    <t>CBOT_Close</t>
  </si>
  <si>
    <t>CBOT_Open</t>
  </si>
  <si>
    <t>CBOT_High</t>
  </si>
  <si>
    <t>CBOT_Low</t>
  </si>
  <si>
    <t>Closing CBOT</t>
  </si>
  <si>
    <t>Dollar Rate</t>
  </si>
  <si>
    <t>CBOT (Low Futures)</t>
  </si>
  <si>
    <t>ARG Daily Price (Low Futures)</t>
  </si>
  <si>
    <t>BRZ Daily Price (Low Futures)</t>
  </si>
  <si>
    <t>CBOT (High Futures)</t>
  </si>
  <si>
    <t>ARG Daily Price (High Futures)</t>
  </si>
  <si>
    <t>BRZ Daily Price (High Futures)</t>
  </si>
  <si>
    <t>CBOT (Open Futures)</t>
  </si>
  <si>
    <t>ARG Daily Price (Open Futures)</t>
  </si>
  <si>
    <t>BRZ Daily Price (Open Futures)</t>
  </si>
  <si>
    <t>CBOT (Close Futures)</t>
  </si>
  <si>
    <t>ARG Daily Price (Close Futures)</t>
  </si>
  <si>
    <t>BRZ Daily Price (Close Futures)</t>
  </si>
  <si>
    <t>Argentina</t>
  </si>
  <si>
    <t>Brazil</t>
  </si>
  <si>
    <t>Average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</si>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</sst>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EGP]\ 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0" borderId="1" xfId="0" applyNumberFormat="1" applyBorder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workbookViewId="0">
      <selection activeCell="H15" sqref="H15"/>
    </sheetView>
  </sheetViews>
  <sheetFormatPr defaultRowHeight="14.5" x14ac:dyDescent="0.35"/>
  <cols>
    <col min="1" max="1" width="17.81640625" bestFit="1" customWidth="1"/>
    <col min="2" max="2" width="10.81640625" hidden="1" customWidth="1"/>
    <col min="3" max="3" width="10.90625" hidden="1" customWidth="1"/>
    <col min="4" max="4" width="10.08984375" hidden="1" customWidth="1"/>
    <col min="5" max="5" width="9.7265625" hidden="1" customWidth="1"/>
    <col min="6" max="6" width="11.7265625" hidden="1" customWidth="1"/>
    <col min="7" max="7" width="10.08984375" bestFit="1" customWidth="1"/>
    <col min="8" max="8" width="18.6328125" bestFit="1" customWidth="1"/>
    <col min="9" max="9" width="26.90625" bestFit="1" customWidth="1"/>
    <col min="10" max="10" width="26.54296875" bestFit="1" customWidth="1"/>
    <col min="20" max="20" width="13.54296875" bestFit="1" customWidth="1"/>
    <col min="21" max="21" width="13.179687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14</v>
      </c>
      <c r="J1" s="1" t="s">
        <v>15</v>
      </c>
      <c r="T1" s="1"/>
      <c r="U1" s="1"/>
    </row>
    <row r="2" spans="1:21" x14ac:dyDescent="0.35">
      <c r="A2" s="7">
        <v>46078</v>
      </c>
      <c r="B2" s="2">
        <v>438.73</v>
      </c>
      <c r="C2" s="2">
        <v>436.52</v>
      </c>
      <c r="D2" s="2">
        <v>441.57</v>
      </c>
      <c r="E2" s="2">
        <v>434.76</v>
      </c>
      <c r="F2" s="2">
        <v>438.73</v>
      </c>
      <c r="G2" s="3">
        <v>47.9</v>
      </c>
      <c r="H2" s="3">
        <v>436.52</v>
      </c>
      <c r="I2" s="4">
        <v>12437.71</v>
      </c>
      <c r="J2" s="4">
        <v>12438.37</v>
      </c>
    </row>
    <row r="3" spans="1:21" x14ac:dyDescent="0.35">
      <c r="A3" s="7">
        <v>46079</v>
      </c>
      <c r="B3" s="2">
        <v>440.18</v>
      </c>
      <c r="C3" s="2">
        <v>439.37</v>
      </c>
      <c r="D3" s="2">
        <v>443.8</v>
      </c>
      <c r="E3" s="2">
        <v>436.86</v>
      </c>
      <c r="F3" s="2">
        <v>440.18</v>
      </c>
      <c r="G3" s="3">
        <v>47.9</v>
      </c>
      <c r="H3" s="3">
        <v>439.37</v>
      </c>
      <c r="I3" s="4">
        <v>12493.62</v>
      </c>
      <c r="J3" s="4">
        <v>12494.29</v>
      </c>
    </row>
    <row r="4" spans="1:21" x14ac:dyDescent="0.35">
      <c r="A4" s="7">
        <v>46080</v>
      </c>
      <c r="B4" s="2">
        <v>440.99</v>
      </c>
      <c r="C4" s="2">
        <v>438.89</v>
      </c>
      <c r="D4" s="2">
        <v>444.05</v>
      </c>
      <c r="E4" s="2">
        <v>436.97</v>
      </c>
      <c r="F4" s="2">
        <v>440.99</v>
      </c>
      <c r="G4" s="3">
        <v>47.9</v>
      </c>
      <c r="H4" s="3">
        <v>438.89</v>
      </c>
      <c r="I4" s="4">
        <v>12484.21</v>
      </c>
      <c r="J4" s="4">
        <v>12484.87</v>
      </c>
    </row>
    <row r="5" spans="1:21" x14ac:dyDescent="0.35">
      <c r="A5" s="7">
        <v>46083</v>
      </c>
      <c r="B5" s="2">
        <v>442.18</v>
      </c>
      <c r="C5" s="2">
        <v>441.21</v>
      </c>
      <c r="D5" s="2">
        <v>445.88</v>
      </c>
      <c r="E5" s="2">
        <v>438.67</v>
      </c>
      <c r="F5" s="2">
        <v>442.18</v>
      </c>
      <c r="G5" s="3">
        <v>47.9</v>
      </c>
      <c r="H5" s="3">
        <v>441.21</v>
      </c>
      <c r="I5" s="4">
        <v>12529.72</v>
      </c>
      <c r="J5" s="4">
        <v>12530.39</v>
      </c>
    </row>
    <row r="6" spans="1:21" x14ac:dyDescent="0.35">
      <c r="A6" s="7">
        <v>46084</v>
      </c>
      <c r="B6" s="2">
        <v>442.94</v>
      </c>
      <c r="C6" s="2">
        <v>443.73</v>
      </c>
      <c r="D6" s="2">
        <v>447.6</v>
      </c>
      <c r="E6" s="2">
        <v>440.25</v>
      </c>
      <c r="F6" s="2">
        <v>442.94</v>
      </c>
      <c r="G6" s="3">
        <v>47.9</v>
      </c>
      <c r="H6" s="3">
        <v>443.73</v>
      </c>
      <c r="I6" s="4">
        <v>12579.17</v>
      </c>
      <c r="J6" s="4">
        <v>12579.84</v>
      </c>
    </row>
    <row r="7" spans="1:21" x14ac:dyDescent="0.35">
      <c r="A7" s="7">
        <v>46085</v>
      </c>
      <c r="B7" s="2">
        <v>443.49</v>
      </c>
      <c r="C7" s="2">
        <v>444.42</v>
      </c>
      <c r="D7" s="2">
        <v>448.29</v>
      </c>
      <c r="E7" s="2">
        <v>440.81</v>
      </c>
      <c r="F7" s="2">
        <v>443.49</v>
      </c>
      <c r="G7" s="3">
        <v>47.9</v>
      </c>
      <c r="H7" s="3">
        <v>444.42</v>
      </c>
      <c r="I7" s="4">
        <v>12592.7</v>
      </c>
      <c r="J7" s="4">
        <v>12593.37</v>
      </c>
    </row>
    <row r="8" spans="1:21" x14ac:dyDescent="0.35">
      <c r="A8" s="7">
        <v>46086</v>
      </c>
      <c r="B8" s="2">
        <v>445.19</v>
      </c>
      <c r="C8" s="2">
        <v>441.37</v>
      </c>
      <c r="D8" s="2">
        <v>447.7</v>
      </c>
      <c r="E8" s="2">
        <v>440.09</v>
      </c>
      <c r="F8" s="2">
        <v>445.19</v>
      </c>
      <c r="G8" s="3">
        <v>47.9</v>
      </c>
      <c r="H8" s="3">
        <v>441.37</v>
      </c>
      <c r="I8" s="4">
        <v>12532.86</v>
      </c>
      <c r="J8" s="4">
        <v>12533.53</v>
      </c>
    </row>
    <row r="9" spans="1:21" x14ac:dyDescent="0.35">
      <c r="A9" s="7">
        <v>46087</v>
      </c>
      <c r="B9" s="2">
        <v>446.46</v>
      </c>
      <c r="C9" s="2">
        <v>444.35</v>
      </c>
      <c r="D9" s="2">
        <v>449.9</v>
      </c>
      <c r="E9" s="2">
        <v>442.15</v>
      </c>
      <c r="F9" s="2">
        <v>446.46</v>
      </c>
      <c r="G9" s="3">
        <v>47.9</v>
      </c>
      <c r="H9" s="3">
        <v>444.35</v>
      </c>
      <c r="I9" s="4">
        <v>12591.33</v>
      </c>
      <c r="J9" s="4">
        <v>12592</v>
      </c>
    </row>
    <row r="10" spans="1:21" x14ac:dyDescent="0.35">
      <c r="A10" s="7">
        <v>46090</v>
      </c>
      <c r="B10" s="2">
        <v>447.37</v>
      </c>
      <c r="C10" s="2">
        <v>448.39</v>
      </c>
      <c r="D10" s="2">
        <v>452.45</v>
      </c>
      <c r="E10" s="2">
        <v>444.57</v>
      </c>
      <c r="F10" s="2">
        <v>447.37</v>
      </c>
      <c r="G10" s="3">
        <v>47.9</v>
      </c>
      <c r="H10" s="3">
        <v>448.39</v>
      </c>
      <c r="I10" s="4">
        <v>12670.59</v>
      </c>
      <c r="J10" s="4">
        <v>12671.27</v>
      </c>
    </row>
    <row r="11" spans="1:21" x14ac:dyDescent="0.35">
      <c r="A11" s="7">
        <v>46091</v>
      </c>
      <c r="B11" s="2">
        <v>448.07</v>
      </c>
      <c r="C11" s="2">
        <v>449.95</v>
      </c>
      <c r="D11" s="2">
        <v>453.66</v>
      </c>
      <c r="E11" s="2">
        <v>445.65</v>
      </c>
      <c r="F11" s="2">
        <v>448.07</v>
      </c>
      <c r="G11" s="3">
        <v>47.9</v>
      </c>
      <c r="H11" s="3">
        <v>449.95</v>
      </c>
      <c r="I11" s="4">
        <v>12701.2</v>
      </c>
      <c r="J11" s="4">
        <v>12701.88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9649-9E86-471E-81C6-40BE1CEDF001}">
  <dimension ref="A1:D11"/>
  <sheetViews>
    <sheetView workbookViewId="0">
      <selection activeCell="A2" sqref="A2:A11"/>
    </sheetView>
  </sheetViews>
  <sheetFormatPr defaultRowHeight="14.5" x14ac:dyDescent="0.35"/>
  <cols>
    <col min="1" max="2" width="17.81640625" bestFit="1" customWidth="1"/>
    <col min="3" max="3" width="26.08984375" bestFit="1" customWidth="1"/>
    <col min="4" max="4" width="25.7265625" bestFit="1" customWidth="1"/>
  </cols>
  <sheetData>
    <row r="1" spans="1:4" x14ac:dyDescent="0.3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35">
      <c r="A2" s="7">
        <v>46078</v>
      </c>
      <c r="B2" s="3">
        <v>441.57</v>
      </c>
      <c r="C2" s="4">
        <v>12471</v>
      </c>
      <c r="D2" s="4">
        <v>12471.64</v>
      </c>
    </row>
    <row r="3" spans="1:4" x14ac:dyDescent="0.35">
      <c r="A3" s="7">
        <v>46079</v>
      </c>
      <c r="B3" s="3">
        <v>443.8</v>
      </c>
      <c r="C3" s="4">
        <v>12514.39</v>
      </c>
      <c r="D3" s="4">
        <v>12515.03</v>
      </c>
    </row>
    <row r="4" spans="1:4" x14ac:dyDescent="0.35">
      <c r="A4" s="7">
        <v>46080</v>
      </c>
      <c r="B4" s="3">
        <v>444.05</v>
      </c>
      <c r="C4" s="4">
        <v>12519.25</v>
      </c>
      <c r="D4" s="4">
        <v>12519.89</v>
      </c>
    </row>
    <row r="5" spans="1:4" x14ac:dyDescent="0.35">
      <c r="A5" s="7">
        <v>46083</v>
      </c>
      <c r="B5" s="3">
        <v>445.88</v>
      </c>
      <c r="C5" s="4">
        <v>12554.85</v>
      </c>
      <c r="D5" s="4">
        <v>12555.49</v>
      </c>
    </row>
    <row r="6" spans="1:4" x14ac:dyDescent="0.35">
      <c r="A6" s="7">
        <v>46084</v>
      </c>
      <c r="B6" s="3">
        <v>447.6</v>
      </c>
      <c r="C6" s="4">
        <v>12588.31</v>
      </c>
      <c r="D6" s="4">
        <v>12588.95</v>
      </c>
    </row>
    <row r="7" spans="1:4" x14ac:dyDescent="0.35">
      <c r="A7" s="7">
        <v>46085</v>
      </c>
      <c r="B7" s="3">
        <v>448.29</v>
      </c>
      <c r="C7" s="4">
        <v>12601.73</v>
      </c>
      <c r="D7" s="4">
        <v>12602.38</v>
      </c>
    </row>
    <row r="8" spans="1:4" x14ac:dyDescent="0.35">
      <c r="A8" s="7">
        <v>46086</v>
      </c>
      <c r="B8" s="3">
        <v>447.7</v>
      </c>
      <c r="C8" s="4">
        <v>12590.26</v>
      </c>
      <c r="D8" s="4">
        <v>12590.9</v>
      </c>
    </row>
    <row r="9" spans="1:4" x14ac:dyDescent="0.35">
      <c r="A9" s="7">
        <v>46087</v>
      </c>
      <c r="B9" s="3">
        <v>449.9</v>
      </c>
      <c r="C9" s="4">
        <v>12633.05</v>
      </c>
      <c r="D9" s="4">
        <v>12633.7</v>
      </c>
    </row>
    <row r="10" spans="1:4" x14ac:dyDescent="0.35">
      <c r="A10" s="7">
        <v>46090</v>
      </c>
      <c r="B10" s="3">
        <v>452.45</v>
      </c>
      <c r="C10" s="4">
        <v>12682.66</v>
      </c>
      <c r="D10" s="4">
        <v>12683.31</v>
      </c>
    </row>
    <row r="11" spans="1:4" x14ac:dyDescent="0.35">
      <c r="A11" s="7">
        <v>46091</v>
      </c>
      <c r="B11" s="3">
        <v>453.66</v>
      </c>
      <c r="C11" s="4">
        <v>12706.2</v>
      </c>
      <c r="D11" s="4">
        <v>12706.85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1F72-4E50-4AC4-A69C-A6DC63D654F6}">
  <dimension ref="A1:D11"/>
  <sheetViews>
    <sheetView workbookViewId="0">
      <selection activeCell="A2" sqref="A2:A11"/>
    </sheetView>
  </sheetViews>
  <sheetFormatPr defaultRowHeight="14.5" x14ac:dyDescent="0.35"/>
  <cols>
    <col min="1" max="1" width="17.81640625" bestFit="1" customWidth="1"/>
    <col min="2" max="2" width="17.453125" bestFit="1" customWidth="1"/>
    <col min="3" max="3" width="25.7265625" bestFit="1" customWidth="1"/>
    <col min="4" max="4" width="25.36328125" bestFit="1" customWidth="1"/>
  </cols>
  <sheetData>
    <row r="1" spans="1:4" x14ac:dyDescent="0.35">
      <c r="A1" s="1" t="s">
        <v>0</v>
      </c>
      <c r="B1" s="1" t="s">
        <v>7</v>
      </c>
      <c r="C1" s="1" t="s">
        <v>8</v>
      </c>
      <c r="D1" s="1" t="s">
        <v>9</v>
      </c>
    </row>
    <row r="2" spans="1:4" x14ac:dyDescent="0.35">
      <c r="A2" s="7">
        <v>46078</v>
      </c>
      <c r="B2" s="3">
        <v>434.76</v>
      </c>
      <c r="C2" s="4">
        <v>12441.85</v>
      </c>
      <c r="D2" s="4">
        <v>12442.53</v>
      </c>
    </row>
    <row r="3" spans="1:4" x14ac:dyDescent="0.35">
      <c r="A3" s="7">
        <v>46079</v>
      </c>
      <c r="B3" s="3">
        <v>436.86</v>
      </c>
      <c r="C3" s="4">
        <v>12483.26</v>
      </c>
      <c r="D3" s="4">
        <v>12483.94</v>
      </c>
    </row>
    <row r="4" spans="1:4" x14ac:dyDescent="0.35">
      <c r="A4" s="7">
        <v>46080</v>
      </c>
      <c r="B4" s="3">
        <v>436.97</v>
      </c>
      <c r="C4" s="4">
        <v>12485.43</v>
      </c>
      <c r="D4" s="4">
        <v>12486.11</v>
      </c>
    </row>
    <row r="5" spans="1:4" x14ac:dyDescent="0.35">
      <c r="A5" s="7">
        <v>46083</v>
      </c>
      <c r="B5" s="3">
        <v>438.67</v>
      </c>
      <c r="C5" s="4">
        <v>12518.95</v>
      </c>
      <c r="D5" s="4">
        <v>12519.64</v>
      </c>
    </row>
    <row r="6" spans="1:4" x14ac:dyDescent="0.35">
      <c r="A6" s="7">
        <v>46084</v>
      </c>
      <c r="B6" s="3">
        <v>440.25</v>
      </c>
      <c r="C6" s="4">
        <v>12550.11</v>
      </c>
      <c r="D6" s="4">
        <v>12550.79</v>
      </c>
    </row>
    <row r="7" spans="1:4" x14ac:dyDescent="0.35">
      <c r="A7" s="7">
        <v>46085</v>
      </c>
      <c r="B7" s="3">
        <v>440.81</v>
      </c>
      <c r="C7" s="4">
        <v>12561.15</v>
      </c>
      <c r="D7" s="4">
        <v>12561.84</v>
      </c>
    </row>
    <row r="8" spans="1:4" x14ac:dyDescent="0.35">
      <c r="A8" s="7">
        <v>46086</v>
      </c>
      <c r="B8" s="3">
        <v>440.09</v>
      </c>
      <c r="C8" s="4">
        <v>12546.95</v>
      </c>
      <c r="D8" s="4">
        <v>12547.64</v>
      </c>
    </row>
    <row r="9" spans="1:4" x14ac:dyDescent="0.35">
      <c r="A9" s="7">
        <v>46087</v>
      </c>
      <c r="B9" s="3">
        <v>442.15</v>
      </c>
      <c r="C9" s="4">
        <v>12587.57</v>
      </c>
      <c r="D9" s="4">
        <v>12588.26</v>
      </c>
    </row>
    <row r="10" spans="1:4" x14ac:dyDescent="0.35">
      <c r="A10" s="7">
        <v>46090</v>
      </c>
      <c r="B10" s="3">
        <v>444.57</v>
      </c>
      <c r="C10" s="4">
        <v>12635.29</v>
      </c>
      <c r="D10" s="4">
        <v>12635.98</v>
      </c>
    </row>
    <row r="11" spans="1:4" x14ac:dyDescent="0.35">
      <c r="A11" s="7">
        <v>46091</v>
      </c>
      <c r="B11" s="3">
        <v>445.65</v>
      </c>
      <c r="C11" s="4">
        <v>12656.59</v>
      </c>
      <c r="D11" s="4">
        <v>12657.28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9268F-B0AF-441D-B798-B16B50ADBC50}">
  <dimension ref="A1:D11"/>
  <sheetViews>
    <sheetView workbookViewId="0">
      <selection activeCell="A2" sqref="A2:A11"/>
    </sheetView>
  </sheetViews>
  <sheetFormatPr defaultRowHeight="14.5" x14ac:dyDescent="0.35"/>
  <cols>
    <col min="1" max="1" width="17.81640625" bestFit="1" customWidth="1"/>
    <col min="2" max="2" width="18.54296875" bestFit="1" customWidth="1"/>
    <col min="3" max="3" width="26.81640625" bestFit="1" customWidth="1"/>
    <col min="4" max="4" width="26.453125" bestFit="1" customWidth="1"/>
  </cols>
  <sheetData>
    <row r="1" spans="1:4" x14ac:dyDescent="0.35">
      <c r="A1" s="1" t="s">
        <v>0</v>
      </c>
      <c r="B1" s="1" t="s">
        <v>16</v>
      </c>
      <c r="C1" s="1" t="s">
        <v>17</v>
      </c>
      <c r="D1" s="1" t="s">
        <v>18</v>
      </c>
    </row>
    <row r="2" spans="1:4" x14ac:dyDescent="0.35">
      <c r="A2" s="7">
        <v>46078</v>
      </c>
      <c r="B2" s="3">
        <v>438.73</v>
      </c>
      <c r="C2" s="4">
        <v>12470.62</v>
      </c>
      <c r="D2" s="4">
        <v>12471.28</v>
      </c>
    </row>
    <row r="3" spans="1:4" x14ac:dyDescent="0.35">
      <c r="A3" s="7">
        <v>46079</v>
      </c>
      <c r="B3" s="3">
        <v>440.18</v>
      </c>
      <c r="C3" s="4">
        <v>12499.03</v>
      </c>
      <c r="D3" s="4">
        <v>12499.69</v>
      </c>
    </row>
    <row r="4" spans="1:4" x14ac:dyDescent="0.35">
      <c r="A4" s="7">
        <v>46080</v>
      </c>
      <c r="B4" s="3">
        <v>440.99</v>
      </c>
      <c r="C4" s="4">
        <v>12514.9</v>
      </c>
      <c r="D4" s="4">
        <v>12515.56</v>
      </c>
    </row>
    <row r="5" spans="1:4" x14ac:dyDescent="0.35">
      <c r="A5" s="7">
        <v>46083</v>
      </c>
      <c r="B5" s="3">
        <v>442.18</v>
      </c>
      <c r="C5" s="4">
        <v>12538.21</v>
      </c>
      <c r="D5" s="4">
        <v>12538.88</v>
      </c>
    </row>
    <row r="6" spans="1:4" x14ac:dyDescent="0.35">
      <c r="A6" s="7">
        <v>46084</v>
      </c>
      <c r="B6" s="3">
        <v>442.94</v>
      </c>
      <c r="C6" s="4">
        <v>12553.1</v>
      </c>
      <c r="D6" s="4">
        <v>12553.77</v>
      </c>
    </row>
    <row r="7" spans="1:4" x14ac:dyDescent="0.35">
      <c r="A7" s="7">
        <v>46085</v>
      </c>
      <c r="B7" s="3">
        <v>443.49</v>
      </c>
      <c r="C7" s="4">
        <v>12563.88</v>
      </c>
      <c r="D7" s="4">
        <v>12564.54</v>
      </c>
    </row>
    <row r="8" spans="1:4" x14ac:dyDescent="0.35">
      <c r="A8" s="7">
        <v>46086</v>
      </c>
      <c r="B8" s="3">
        <v>445.19</v>
      </c>
      <c r="C8" s="4">
        <v>12597.19</v>
      </c>
      <c r="D8" s="4">
        <v>12597.85</v>
      </c>
    </row>
    <row r="9" spans="1:4" x14ac:dyDescent="0.35">
      <c r="A9" s="7">
        <v>46087</v>
      </c>
      <c r="B9" s="3">
        <v>446.46</v>
      </c>
      <c r="C9" s="4">
        <v>12622.07</v>
      </c>
      <c r="D9" s="4">
        <v>12622.74</v>
      </c>
    </row>
    <row r="10" spans="1:4" x14ac:dyDescent="0.35">
      <c r="A10" s="7">
        <v>46090</v>
      </c>
      <c r="B10" s="3">
        <v>447.37</v>
      </c>
      <c r="C10" s="4">
        <v>12639.9</v>
      </c>
      <c r="D10" s="4">
        <v>12640.57</v>
      </c>
    </row>
    <row r="11" spans="1:4" x14ac:dyDescent="0.35">
      <c r="A11" s="7">
        <v>46091</v>
      </c>
      <c r="B11" s="3">
        <v>448.07</v>
      </c>
      <c r="C11" s="4">
        <v>12653.62</v>
      </c>
      <c r="D11" s="4">
        <v>12654.29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F853-6D5C-4337-8AE2-FD114AB11ADD}">
  <dimension ref="A1:K12"/>
  <sheetViews>
    <sheetView tabSelected="1" workbookViewId="0">
      <selection activeCell="G16" sqref="G16"/>
    </sheetView>
  </sheetViews>
  <sheetFormatPr defaultRowHeight="14.5" x14ac:dyDescent="0.35"/>
  <cols>
    <col min="1" max="1" width="17.81640625" bestFit="1" customWidth="1"/>
    <col min="2" max="3" width="10" bestFit="1" customWidth="1"/>
    <col min="6" max="7" width="10" bestFit="1" customWidth="1"/>
    <col min="10" max="10" width="10.08984375" bestFit="1" customWidth="1"/>
    <col min="11" max="11" width="10" bestFit="1" customWidth="1"/>
  </cols>
  <sheetData>
    <row r="1" spans="1:11" x14ac:dyDescent="0.35">
      <c r="A1" s="1" t="s">
        <v>0</v>
      </c>
      <c r="B1" s="3" t="s">
        <v>19</v>
      </c>
      <c r="C1" s="3" t="s">
        <v>20</v>
      </c>
      <c r="F1" s="3" t="s">
        <v>19</v>
      </c>
      <c r="G1" s="3" t="s">
        <v>20</v>
      </c>
      <c r="J1" s="3" t="s">
        <v>19</v>
      </c>
      <c r="K1" s="3" t="s">
        <v>20</v>
      </c>
    </row>
    <row r="2" spans="1:11" x14ac:dyDescent="0.35">
      <c r="A2" s="7">
        <v>46078</v>
      </c>
      <c r="B2" s="6">
        <f>AVERAGE(Open!I2,High!C2,Low!C2,Close!C2)</f>
        <v>12455.295</v>
      </c>
      <c r="C2" s="6">
        <f>AVERAGE(Open!J2,High!D2,Low!D2,Close!D2)</f>
        <v>12455.955</v>
      </c>
      <c r="F2" s="6">
        <f>MIN(Open!I2,High!C2,Low!C2,Close!C2)</f>
        <v>12437.71</v>
      </c>
      <c r="G2" s="6">
        <f>MIN(Open!J2,High!D2,Low!D2,Close!D2)</f>
        <v>12438.37</v>
      </c>
      <c r="J2" s="6">
        <f>MAX(Open!I2,High!C2,Low!C2,Close!C2)</f>
        <v>12471</v>
      </c>
      <c r="K2" s="6">
        <f>MAX(Open!J2,High!D2,Low!D2,Close!D2)</f>
        <v>12471.64</v>
      </c>
    </row>
    <row r="3" spans="1:11" x14ac:dyDescent="0.35">
      <c r="A3" s="7">
        <v>46079</v>
      </c>
      <c r="B3" s="6">
        <f>AVERAGE(Open!I3,High!C3,Low!C3,Close!C3)</f>
        <v>12497.575000000001</v>
      </c>
      <c r="C3" s="6">
        <f>AVERAGE(Open!J3,High!D3,Low!D3,Close!D3)</f>
        <v>12498.237500000001</v>
      </c>
      <c r="F3" s="6">
        <f>MIN(Open!I3,High!C3,Low!C3,Close!C3)</f>
        <v>12483.26</v>
      </c>
      <c r="G3" s="6">
        <f>MIN(Open!J3,High!D3,Low!D3,Close!D3)</f>
        <v>12483.94</v>
      </c>
      <c r="J3" s="6">
        <f>MAX(Open!I3,High!C3,Low!C3,Close!C3)</f>
        <v>12514.39</v>
      </c>
      <c r="K3" s="6">
        <f>MAX(Open!J3,High!D3,Low!D3,Close!D3)</f>
        <v>12515.03</v>
      </c>
    </row>
    <row r="4" spans="1:11" x14ac:dyDescent="0.35">
      <c r="A4" s="7">
        <v>46080</v>
      </c>
      <c r="B4" s="6">
        <f>AVERAGE(Open!I4,High!C4,Low!C4,Close!C4)</f>
        <v>12500.9475</v>
      </c>
      <c r="C4" s="6">
        <f>AVERAGE(Open!J4,High!D4,Low!D4,Close!D4)</f>
        <v>12501.6075</v>
      </c>
      <c r="F4" s="6">
        <f>MIN(Open!I4,High!C4,Low!C4,Close!C4)</f>
        <v>12484.21</v>
      </c>
      <c r="G4" s="6">
        <f>MIN(Open!J4,High!D4,Low!D4,Close!D4)</f>
        <v>12484.87</v>
      </c>
      <c r="J4" s="6">
        <f>MAX(Open!I4,High!C4,Low!C4,Close!C4)</f>
        <v>12519.25</v>
      </c>
      <c r="K4" s="6">
        <f>MAX(Open!J4,High!D4,Low!D4,Close!D4)</f>
        <v>12519.89</v>
      </c>
    </row>
    <row r="5" spans="1:11" x14ac:dyDescent="0.35">
      <c r="A5" s="7">
        <v>46083</v>
      </c>
      <c r="B5" s="6">
        <f>AVERAGE(Open!I5,High!C5,Low!C5,Close!C5)</f>
        <v>12535.432500000001</v>
      </c>
      <c r="C5" s="6">
        <f>AVERAGE(Open!J5,High!D5,Low!D5,Close!D5)</f>
        <v>12536.099999999999</v>
      </c>
      <c r="F5" s="6">
        <f>MIN(Open!I5,High!C5,Low!C5,Close!C5)</f>
        <v>12518.95</v>
      </c>
      <c r="G5" s="6">
        <f>MIN(Open!J5,High!D5,Low!D5,Close!D5)</f>
        <v>12519.64</v>
      </c>
      <c r="J5" s="6">
        <f>MAX(Open!I5,High!C5,Low!C5,Close!C5)</f>
        <v>12554.85</v>
      </c>
      <c r="K5" s="6">
        <f>MAX(Open!J5,High!D5,Low!D5,Close!D5)</f>
        <v>12555.49</v>
      </c>
    </row>
    <row r="6" spans="1:11" x14ac:dyDescent="0.35">
      <c r="A6" s="7">
        <v>46084</v>
      </c>
      <c r="B6" s="6">
        <f>AVERAGE(Open!I6,High!C6,Low!C6,Close!C6)</f>
        <v>12567.672499999999</v>
      </c>
      <c r="C6" s="6">
        <f>AVERAGE(Open!J6,High!D6,Low!D6,Close!D6)</f>
        <v>12568.337500000001</v>
      </c>
      <c r="F6" s="6">
        <f>MIN(Open!I6,High!C6,Low!C6,Close!C6)</f>
        <v>12550.11</v>
      </c>
      <c r="G6" s="6">
        <f>MIN(Open!J6,High!D6,Low!D6,Close!D6)</f>
        <v>12550.79</v>
      </c>
      <c r="J6" s="6">
        <f>MAX(Open!I6,High!C6,Low!C6,Close!C6)</f>
        <v>12588.31</v>
      </c>
      <c r="K6" s="6">
        <f>MAX(Open!J6,High!D6,Low!D6,Close!D6)</f>
        <v>12588.95</v>
      </c>
    </row>
    <row r="7" spans="1:11" x14ac:dyDescent="0.35">
      <c r="A7" s="7">
        <v>46085</v>
      </c>
      <c r="B7" s="6">
        <f>AVERAGE(Open!I7,High!C7,Low!C7,Close!C7)</f>
        <v>12579.865</v>
      </c>
      <c r="C7" s="6">
        <f>AVERAGE(Open!J7,High!D7,Low!D7,Close!D7)</f>
        <v>12580.532499999999</v>
      </c>
      <c r="F7" s="6">
        <f>MIN(Open!I7,High!C7,Low!C7,Close!C7)</f>
        <v>12561.15</v>
      </c>
      <c r="G7" s="6">
        <f>MIN(Open!J7,High!D7,Low!D7,Close!D7)</f>
        <v>12561.84</v>
      </c>
      <c r="J7" s="6">
        <f>MAX(Open!I7,High!C7,Low!C7,Close!C7)</f>
        <v>12601.73</v>
      </c>
      <c r="K7" s="6">
        <f>MAX(Open!J7,High!D7,Low!D7,Close!D7)</f>
        <v>12602.38</v>
      </c>
    </row>
    <row r="8" spans="1:11" x14ac:dyDescent="0.35">
      <c r="A8" s="7">
        <v>46086</v>
      </c>
      <c r="B8" s="6">
        <f>AVERAGE(Open!I8,High!C8,Low!C8,Close!C8)</f>
        <v>12566.815000000002</v>
      </c>
      <c r="C8" s="6">
        <f>AVERAGE(Open!J8,High!D8,Low!D8,Close!D8)</f>
        <v>12567.48</v>
      </c>
      <c r="F8" s="6">
        <f>MIN(Open!I8,High!C8,Low!C8,Close!C8)</f>
        <v>12532.86</v>
      </c>
      <c r="G8" s="6">
        <f>MIN(Open!J8,High!D8,Low!D8,Close!D8)</f>
        <v>12533.53</v>
      </c>
      <c r="J8" s="6">
        <f>MAX(Open!I8,High!C8,Low!C8,Close!C8)</f>
        <v>12597.19</v>
      </c>
      <c r="K8" s="6">
        <f>MAX(Open!J8,High!D8,Low!D8,Close!D8)</f>
        <v>12597.85</v>
      </c>
    </row>
    <row r="9" spans="1:11" x14ac:dyDescent="0.35">
      <c r="A9" s="7">
        <v>46087</v>
      </c>
      <c r="B9" s="6">
        <f>AVERAGE(Open!I9,High!C9,Low!C9,Close!C9)</f>
        <v>12608.504999999999</v>
      </c>
      <c r="C9" s="6">
        <f>AVERAGE(Open!J9,High!D9,Low!D9,Close!D9)</f>
        <v>12609.174999999999</v>
      </c>
      <c r="F9" s="6">
        <f>MIN(Open!I9,High!C9,Low!C9,Close!C9)</f>
        <v>12587.57</v>
      </c>
      <c r="G9" s="6">
        <f>MIN(Open!J9,High!D9,Low!D9,Close!D9)</f>
        <v>12588.26</v>
      </c>
      <c r="J9" s="6">
        <f>MAX(Open!I9,High!C9,Low!C9,Close!C9)</f>
        <v>12633.05</v>
      </c>
      <c r="K9" s="6">
        <f>MAX(Open!J9,High!D9,Low!D9,Close!D9)</f>
        <v>12633.7</v>
      </c>
    </row>
    <row r="10" spans="1:11" x14ac:dyDescent="0.35">
      <c r="A10" s="7">
        <v>46090</v>
      </c>
      <c r="B10" s="6">
        <f>AVERAGE(Open!I10,High!C10,Low!C10,Close!C10)</f>
        <v>12657.11</v>
      </c>
      <c r="C10" s="6">
        <f>AVERAGE(Open!J10,High!D10,Low!D10,Close!D10)</f>
        <v>12657.782499999999</v>
      </c>
      <c r="F10" s="6">
        <f>MIN(Open!I10,High!C10,Low!C10,Close!C10)</f>
        <v>12635.29</v>
      </c>
      <c r="G10" s="6">
        <f>MIN(Open!J10,High!D10,Low!D10,Close!D10)</f>
        <v>12635.98</v>
      </c>
      <c r="J10" s="6">
        <f>MAX(Open!I10,High!C10,Low!C10,Close!C10)</f>
        <v>12682.66</v>
      </c>
      <c r="K10" s="6">
        <f>MAX(Open!J10,High!D10,Low!D10,Close!D10)</f>
        <v>12683.31</v>
      </c>
    </row>
    <row r="11" spans="1:11" x14ac:dyDescent="0.35">
      <c r="A11" s="7">
        <v>46091</v>
      </c>
      <c r="B11" s="6">
        <f>AVERAGE(Open!I11,High!C11,Low!C11,Close!C11)</f>
        <v>12679.402500000002</v>
      </c>
      <c r="C11" s="6">
        <f>AVERAGE(Open!J11,High!D11,Low!D11,Close!D11)</f>
        <v>12680.075000000001</v>
      </c>
      <c r="F11" s="6">
        <f>MIN(Open!I11,High!C11,Low!C11,Close!C11)</f>
        <v>12653.62</v>
      </c>
      <c r="G11" s="6">
        <f>MIN(Open!J11,High!D11,Low!D11,Close!D11)</f>
        <v>12654.29</v>
      </c>
      <c r="J11" s="6">
        <f>MAX(Open!I11,High!C11,Low!C11,Close!C11)</f>
        <v>12706.2</v>
      </c>
      <c r="K11" s="6">
        <f>MAX(Open!J11,High!D11,Low!D11,Close!D11)</f>
        <v>12706.85</v>
      </c>
    </row>
    <row r="12" spans="1:11" x14ac:dyDescent="0.35">
      <c r="B12" s="5" t="s">
        <v>21</v>
      </c>
      <c r="C12" s="5"/>
      <c r="F12" s="5" t="s">
        <v>22</v>
      </c>
      <c r="G12" s="5"/>
      <c r="J12" s="5" t="s">
        <v>23</v>
      </c>
      <c r="K12" s="5"/>
    </row>
  </sheetData>
  <mergeCells count="3">
    <mergeCell ref="B12:C12"/>
    <mergeCell ref="F12:G12"/>
    <mergeCell ref="J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Open</vt:lpstr>
      <vt:lpstr>High</vt:lpstr>
      <vt:lpstr>Low</vt:lpstr>
      <vt:lpstr>Close</vt:lpstr>
      <vt:lpstr>Average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Sherif, Zeina</cp:lastModifiedBy>
  <dcterms:created xsi:type="dcterms:W3CDTF">2026-02-25T10:23:23Z</dcterms:created>
  <dcterms:modified xsi:type="dcterms:W3CDTF">2026-02-25T10:49:01Z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2026-02-25T10:24:09Z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74507ec9-68cc-4183-8069-06a229289e1f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