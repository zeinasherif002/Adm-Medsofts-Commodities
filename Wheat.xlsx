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Wheat/Local/Model Monthly/"/>
    </mc:Choice>
  </mc:AlternateContent>
  <xr:revisionPtr revIDLastSave="299" documentId="11_AD4D80C4656A4B7AC02E743F331E4E205ADEDD8F" xr6:coauthVersionLast="47" xr6:coauthVersionMax="47" xr10:uidLastSave="{02F873BC-B999-4A56-BA3B-FF208E33C4C4}"/>
  <bookViews>
    <workbookView xWindow="-110" yWindow="-110" windowWidth="19420" windowHeight="10300" xr2:uid="{00000000-000D-0000-FFFF-FFFF00000000}"/>
  </bookViews>
  <sheets>
    <sheet name="S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I39" i="1" s="1"/>
  <c r="J39" i="1" s="1"/>
  <c r="P36" i="1"/>
  <c r="P37" i="1"/>
  <c r="N37" i="1"/>
  <c r="L37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P35" i="1"/>
  <c r="E35" i="1"/>
  <c r="G35" i="1" s="1"/>
  <c r="I35" i="1" s="1"/>
  <c r="E36" i="1" l="1"/>
  <c r="G36" i="1" s="1"/>
  <c r="I36" i="1" s="1"/>
  <c r="J36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2" i="1"/>
  <c r="G21" i="1"/>
  <c r="I21" i="1" s="1"/>
  <c r="G16" i="1"/>
  <c r="I16" i="1" s="1"/>
  <c r="E17" i="1" s="1"/>
  <c r="G17" i="1" s="1"/>
  <c r="I17" i="1" s="1"/>
  <c r="G15" i="1"/>
  <c r="I15" i="1" s="1"/>
  <c r="G14" i="1"/>
  <c r="I14" i="1" s="1"/>
  <c r="G2" i="1"/>
  <c r="I2" i="1" s="1"/>
  <c r="J2" i="1" s="1"/>
  <c r="E37" i="1" l="1"/>
  <c r="G37" i="1" s="1"/>
  <c r="I37" i="1" s="1"/>
  <c r="J37" i="1" s="1"/>
  <c r="E3" i="1"/>
  <c r="G3" i="1" s="1"/>
  <c r="I3" i="1" s="1"/>
  <c r="E22" i="1"/>
  <c r="G22" i="1" s="1"/>
  <c r="I22" i="1" s="1"/>
  <c r="E18" i="1"/>
  <c r="G18" i="1" s="1"/>
  <c r="I18" i="1" s="1"/>
  <c r="E38" i="1" l="1"/>
  <c r="G38" i="1" s="1"/>
  <c r="I38" i="1" s="1"/>
  <c r="J38" i="1" s="1"/>
  <c r="E4" i="1"/>
  <c r="G4" i="1" s="1"/>
  <c r="I4" i="1" s="1"/>
  <c r="E19" i="1"/>
  <c r="G19" i="1" s="1"/>
  <c r="I19" i="1" s="1"/>
  <c r="E5" i="1" l="1"/>
  <c r="G5" i="1" s="1"/>
  <c r="I5" i="1" s="1"/>
  <c r="E20" i="1"/>
  <c r="G20" i="1" s="1"/>
  <c r="I20" i="1" s="1"/>
  <c r="E6" i="1" l="1"/>
  <c r="G6" i="1" s="1"/>
  <c r="I6" i="1" s="1"/>
  <c r="E7" i="1" l="1"/>
  <c r="G7" i="1" s="1"/>
  <c r="I7" i="1" s="1"/>
  <c r="E8" i="1" l="1"/>
  <c r="G8" i="1" s="1"/>
  <c r="I8" i="1" s="1"/>
  <c r="E9" i="1" l="1"/>
  <c r="G9" i="1" s="1"/>
  <c r="I9" i="1" s="1"/>
  <c r="E10" i="1" l="1"/>
  <c r="G10" i="1" s="1"/>
  <c r="I10" i="1" s="1"/>
  <c r="E11" i="1" l="1"/>
  <c r="G11" i="1" s="1"/>
  <c r="I11" i="1" s="1"/>
  <c r="E12" i="1" l="1"/>
  <c r="G12" i="1" s="1"/>
  <c r="I12" i="1" s="1"/>
  <c r="E13" i="1" l="1"/>
  <c r="G13" i="1" s="1"/>
  <c r="I13" i="1" s="1"/>
</calcChain>
</file>

<file path=xl/sharedStrings.xml><?xml version="1.0" encoding="utf-8"?>
<sst xmlns="http://schemas.openxmlformats.org/spreadsheetml/2006/main" count="16" uniqueCount="16">
  <si>
    <t xml:space="preserve">12.5% Replacement </t>
  </si>
  <si>
    <t>Price 12.5%</t>
  </si>
  <si>
    <t xml:space="preserve">11.5% Replacement </t>
  </si>
  <si>
    <t>Price 11.5%</t>
  </si>
  <si>
    <t>STU</t>
  </si>
  <si>
    <t>Ending Stock</t>
  </si>
  <si>
    <t>Demand</t>
  </si>
  <si>
    <t>Total Supply</t>
  </si>
  <si>
    <t>Imports</t>
  </si>
  <si>
    <t>Beginning Stock</t>
  </si>
  <si>
    <t>Dollar Rate</t>
  </si>
  <si>
    <t>Closing CBOT</t>
  </si>
  <si>
    <t>Local Fees</t>
  </si>
  <si>
    <t>Month</t>
  </si>
  <si>
    <t>Difference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</si>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</sst>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EGP]\ #,##0.00"/>
    <numFmt numFmtId="166" formatCode="[$EGP]\ #,##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4" fontId="0" fillId="0" borderId="0" xfId="0" applyNumberFormat="1"/>
    <xf numFmtId="0" fontId="2" fillId="0" borderId="3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6" borderId="1" xfId="0" applyFill="1" applyBorder="1"/>
    <xf numFmtId="17" fontId="0" fillId="6" borderId="1" xfId="0" applyNumberFormat="1" applyFill="1" applyBorder="1"/>
    <xf numFmtId="0" fontId="0" fillId="6" borderId="0" xfId="0" applyFill="1"/>
    <xf numFmtId="164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D60093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topLeftCell="A33" zoomScale="79" workbookViewId="0">
      <selection activeCell="L53" sqref="L53"/>
    </sheetView>
  </sheetViews>
  <sheetFormatPr defaultRowHeight="14.5" x14ac:dyDescent="0.35"/>
  <cols>
    <col min="1" max="1" width="9.90625" style="23" bestFit="1" customWidth="1"/>
    <col min="2" max="2" width="9.26953125" bestFit="1" customWidth="1"/>
    <col min="3" max="3" width="11.7265625" bestFit="1" customWidth="1"/>
    <col min="4" max="4" width="10" style="10" bestFit="1" customWidth="1"/>
    <col min="5" max="5" width="14.54296875" bestFit="1" customWidth="1"/>
    <col min="6" max="6" width="9.54296875" bestFit="1" customWidth="1"/>
    <col min="7" max="7" width="11.36328125" bestFit="1" customWidth="1"/>
    <col min="8" max="8" width="8" bestFit="1" customWidth="1"/>
    <col min="9" max="9" width="11.6328125" bestFit="1" customWidth="1"/>
    <col min="10" max="10" width="5.1796875" bestFit="1" customWidth="1"/>
    <col min="11" max="11" width="14.453125" bestFit="1" customWidth="1"/>
    <col min="12" max="12" width="18.453125" bestFit="1" customWidth="1"/>
    <col min="13" max="13" width="13.26953125" bestFit="1" customWidth="1"/>
    <col min="14" max="14" width="18.453125" bestFit="1" customWidth="1"/>
    <col min="15" max="15" width="8.08984375" customWidth="1"/>
    <col min="16" max="16" width="12.1796875" style="3" bestFit="1" customWidth="1"/>
  </cols>
  <sheetData>
    <row r="1" spans="1:16" x14ac:dyDescent="0.35">
      <c r="A1" s="21" t="s">
        <v>13</v>
      </c>
      <c r="B1" s="4" t="s">
        <v>12</v>
      </c>
      <c r="C1" s="3" t="s">
        <v>11</v>
      </c>
      <c r="D1" s="24" t="s">
        <v>10</v>
      </c>
      <c r="E1" s="6" t="s">
        <v>9</v>
      </c>
      <c r="F1" s="6" t="s">
        <v>8</v>
      </c>
      <c r="G1" s="6" t="s">
        <v>7</v>
      </c>
      <c r="H1" s="6" t="s">
        <v>6</v>
      </c>
      <c r="I1" s="6" t="s">
        <v>5</v>
      </c>
      <c r="J1" s="7" t="s">
        <v>4</v>
      </c>
      <c r="K1" s="8" t="s">
        <v>3</v>
      </c>
      <c r="L1" s="8" t="s">
        <v>2</v>
      </c>
      <c r="M1" s="9" t="s">
        <v>1</v>
      </c>
      <c r="N1" s="8" t="s">
        <v>0</v>
      </c>
      <c r="O1" s="11"/>
      <c r="P1" s="12" t="s">
        <v>14</v>
      </c>
    </row>
    <row r="2" spans="1:16" x14ac:dyDescent="0.35">
      <c r="A2" s="22">
        <v>44927</v>
      </c>
      <c r="B2" s="5">
        <v>352</v>
      </c>
      <c r="C2" s="1">
        <v>744.98</v>
      </c>
      <c r="D2" s="24">
        <v>28.661999999999999</v>
      </c>
      <c r="E2" s="13">
        <v>640000</v>
      </c>
      <c r="F2" s="13">
        <v>140000</v>
      </c>
      <c r="G2" s="13">
        <f t="shared" ref="G2:G22" si="0">E2+F2</f>
        <v>780000</v>
      </c>
      <c r="H2" s="13">
        <v>433000</v>
      </c>
      <c r="I2" s="13">
        <f t="shared" ref="I2:I22" si="1">G2-H2</f>
        <v>347000</v>
      </c>
      <c r="J2" s="14">
        <f>I2/H2</f>
        <v>0.80138568129330257</v>
      </c>
      <c r="K2" s="15">
        <v>11830</v>
      </c>
      <c r="L2" s="16">
        <v>323</v>
      </c>
      <c r="M2" s="15">
        <v>13000</v>
      </c>
      <c r="N2" s="16">
        <v>333</v>
      </c>
      <c r="O2" s="10"/>
      <c r="P2" s="2">
        <f>M2-K2</f>
        <v>1170</v>
      </c>
    </row>
    <row r="3" spans="1:16" x14ac:dyDescent="0.35">
      <c r="A3" s="22">
        <v>44958</v>
      </c>
      <c r="B3" s="5">
        <v>352</v>
      </c>
      <c r="C3" s="1">
        <v>753.82</v>
      </c>
      <c r="D3" s="24">
        <v>30.474</v>
      </c>
      <c r="E3" s="13">
        <f t="shared" ref="E3:E13" si="2">I2</f>
        <v>347000</v>
      </c>
      <c r="F3" s="13">
        <v>430000</v>
      </c>
      <c r="G3" s="13">
        <f t="shared" si="0"/>
        <v>777000</v>
      </c>
      <c r="H3" s="13">
        <v>457000</v>
      </c>
      <c r="I3" s="13">
        <f t="shared" si="1"/>
        <v>320000</v>
      </c>
      <c r="J3" s="14">
        <f t="shared" ref="J3:J39" si="3">I3/H3</f>
        <v>0.70021881838074396</v>
      </c>
      <c r="K3" s="15">
        <v>12150</v>
      </c>
      <c r="L3" s="17">
        <v>319.5</v>
      </c>
      <c r="M3" s="15">
        <v>13100</v>
      </c>
      <c r="N3" s="16">
        <v>320</v>
      </c>
      <c r="O3" s="10"/>
      <c r="P3" s="2">
        <f t="shared" ref="P3:P37" si="4">M3-K3</f>
        <v>950</v>
      </c>
    </row>
    <row r="4" spans="1:16" x14ac:dyDescent="0.35">
      <c r="A4" s="22">
        <v>44986</v>
      </c>
      <c r="B4" s="5">
        <v>352</v>
      </c>
      <c r="C4" s="1">
        <v>687.7</v>
      </c>
      <c r="D4" s="24">
        <v>30.834</v>
      </c>
      <c r="E4" s="13">
        <f t="shared" si="2"/>
        <v>320000</v>
      </c>
      <c r="F4" s="13">
        <v>620000</v>
      </c>
      <c r="G4" s="13">
        <f t="shared" si="0"/>
        <v>940000</v>
      </c>
      <c r="H4" s="13">
        <v>494000</v>
      </c>
      <c r="I4" s="13">
        <f t="shared" si="1"/>
        <v>446000</v>
      </c>
      <c r="J4" s="14">
        <f t="shared" si="3"/>
        <v>0.90283400809716596</v>
      </c>
      <c r="K4" s="15">
        <v>13050</v>
      </c>
      <c r="L4" s="16">
        <v>303.5</v>
      </c>
      <c r="M4" s="15">
        <v>13500</v>
      </c>
      <c r="N4" s="16">
        <v>304</v>
      </c>
      <c r="O4" s="10"/>
      <c r="P4" s="2">
        <f t="shared" si="4"/>
        <v>450</v>
      </c>
    </row>
    <row r="5" spans="1:16" x14ac:dyDescent="0.35">
      <c r="A5" s="22">
        <v>45017</v>
      </c>
      <c r="B5" s="5">
        <v>352</v>
      </c>
      <c r="C5" s="1">
        <v>669.3</v>
      </c>
      <c r="D5" s="24">
        <v>30.864999999999998</v>
      </c>
      <c r="E5" s="13">
        <f t="shared" si="2"/>
        <v>446000</v>
      </c>
      <c r="F5" s="13">
        <v>465000</v>
      </c>
      <c r="G5" s="13">
        <f t="shared" si="0"/>
        <v>911000</v>
      </c>
      <c r="H5" s="13">
        <v>494000</v>
      </c>
      <c r="I5" s="13">
        <f t="shared" si="1"/>
        <v>417000</v>
      </c>
      <c r="J5" s="14">
        <f t="shared" si="3"/>
        <v>0.84412955465587047</v>
      </c>
      <c r="K5" s="15">
        <v>13050</v>
      </c>
      <c r="L5" s="16">
        <v>300</v>
      </c>
      <c r="M5" s="15">
        <v>13350</v>
      </c>
      <c r="N5" s="16">
        <v>305</v>
      </c>
      <c r="O5" s="10"/>
      <c r="P5" s="2">
        <f t="shared" si="4"/>
        <v>300</v>
      </c>
    </row>
    <row r="6" spans="1:16" x14ac:dyDescent="0.35">
      <c r="A6" s="22">
        <v>45047</v>
      </c>
      <c r="B6" s="5">
        <v>352</v>
      </c>
      <c r="C6" s="1">
        <v>619.88</v>
      </c>
      <c r="D6" s="24">
        <v>30.881</v>
      </c>
      <c r="E6" s="13">
        <f t="shared" si="2"/>
        <v>417000</v>
      </c>
      <c r="F6" s="13">
        <v>565000</v>
      </c>
      <c r="G6" s="13">
        <f t="shared" si="0"/>
        <v>982000</v>
      </c>
      <c r="H6" s="13">
        <v>494000</v>
      </c>
      <c r="I6" s="13">
        <f t="shared" si="1"/>
        <v>488000</v>
      </c>
      <c r="J6" s="14">
        <f t="shared" si="3"/>
        <v>0.98785425101214575</v>
      </c>
      <c r="K6" s="15">
        <v>12700</v>
      </c>
      <c r="L6" s="16">
        <v>263</v>
      </c>
      <c r="M6" s="15">
        <v>12900</v>
      </c>
      <c r="N6" s="16">
        <v>245</v>
      </c>
      <c r="O6" s="10"/>
      <c r="P6" s="2">
        <f t="shared" si="4"/>
        <v>200</v>
      </c>
    </row>
    <row r="7" spans="1:16" x14ac:dyDescent="0.35">
      <c r="A7" s="22">
        <v>45078</v>
      </c>
      <c r="B7" s="5">
        <v>352</v>
      </c>
      <c r="C7" s="1">
        <v>660</v>
      </c>
      <c r="D7" s="24">
        <v>30.895</v>
      </c>
      <c r="E7" s="13">
        <f t="shared" si="2"/>
        <v>488000</v>
      </c>
      <c r="F7" s="13">
        <v>520000</v>
      </c>
      <c r="G7" s="13">
        <f t="shared" si="0"/>
        <v>1008000</v>
      </c>
      <c r="H7" s="13">
        <v>619000</v>
      </c>
      <c r="I7" s="13">
        <f t="shared" si="1"/>
        <v>389000</v>
      </c>
      <c r="J7" s="14">
        <f t="shared" si="3"/>
        <v>0.62843295638126007</v>
      </c>
      <c r="K7" s="15">
        <v>12450</v>
      </c>
      <c r="L7" s="16">
        <v>257.5</v>
      </c>
      <c r="M7" s="15">
        <v>12500</v>
      </c>
      <c r="N7" s="16">
        <v>262.5</v>
      </c>
      <c r="O7" s="10"/>
      <c r="P7" s="2">
        <f t="shared" si="4"/>
        <v>50</v>
      </c>
    </row>
    <row r="8" spans="1:16" x14ac:dyDescent="0.35">
      <c r="A8" s="22">
        <v>45108</v>
      </c>
      <c r="B8" s="5">
        <v>352</v>
      </c>
      <c r="C8" s="1">
        <v>677.91</v>
      </c>
      <c r="D8" s="24">
        <v>30.882999999999999</v>
      </c>
      <c r="E8" s="13">
        <f t="shared" si="2"/>
        <v>389000</v>
      </c>
      <c r="F8" s="13">
        <v>370000</v>
      </c>
      <c r="G8" s="13">
        <f t="shared" si="0"/>
        <v>759000</v>
      </c>
      <c r="H8" s="13">
        <v>619000</v>
      </c>
      <c r="I8" s="13">
        <f t="shared" si="1"/>
        <v>140000</v>
      </c>
      <c r="J8" s="14">
        <f t="shared" si="3"/>
        <v>0.22617124394184168</v>
      </c>
      <c r="K8" s="15">
        <v>12400</v>
      </c>
      <c r="L8" s="18">
        <v>255</v>
      </c>
      <c r="M8" s="15">
        <v>12650</v>
      </c>
      <c r="N8" s="16">
        <v>260</v>
      </c>
      <c r="O8" s="10"/>
      <c r="P8" s="2">
        <f t="shared" si="4"/>
        <v>250</v>
      </c>
    </row>
    <row r="9" spans="1:16" x14ac:dyDescent="0.35">
      <c r="A9" s="22">
        <v>45139</v>
      </c>
      <c r="B9" s="5">
        <v>352</v>
      </c>
      <c r="C9" s="1">
        <v>616.53</v>
      </c>
      <c r="D9" s="24">
        <v>30.901</v>
      </c>
      <c r="E9" s="13">
        <f t="shared" si="2"/>
        <v>140000</v>
      </c>
      <c r="F9" s="13">
        <v>685000</v>
      </c>
      <c r="G9" s="13">
        <f t="shared" si="0"/>
        <v>825000</v>
      </c>
      <c r="H9" s="13">
        <v>433000</v>
      </c>
      <c r="I9" s="13">
        <f t="shared" si="1"/>
        <v>392000</v>
      </c>
      <c r="J9" s="14">
        <f t="shared" si="3"/>
        <v>0.90531177829099307</v>
      </c>
      <c r="K9" s="15">
        <v>12800</v>
      </c>
      <c r="L9" s="16">
        <v>258</v>
      </c>
      <c r="M9" s="15">
        <v>13000</v>
      </c>
      <c r="N9" s="16">
        <v>264</v>
      </c>
      <c r="O9" s="10"/>
      <c r="P9" s="2">
        <f t="shared" si="4"/>
        <v>200</v>
      </c>
    </row>
    <row r="10" spans="1:16" x14ac:dyDescent="0.35">
      <c r="A10" s="22">
        <v>45170</v>
      </c>
      <c r="B10" s="5">
        <v>352</v>
      </c>
      <c r="C10" s="1">
        <v>577.61</v>
      </c>
      <c r="D10" s="24">
        <v>30.902000000000001</v>
      </c>
      <c r="E10" s="13">
        <f t="shared" si="2"/>
        <v>392000</v>
      </c>
      <c r="F10" s="13">
        <v>975000</v>
      </c>
      <c r="G10" s="13">
        <f t="shared" si="0"/>
        <v>1367000</v>
      </c>
      <c r="H10" s="13">
        <v>433000</v>
      </c>
      <c r="I10" s="13">
        <f t="shared" si="1"/>
        <v>934000</v>
      </c>
      <c r="J10" s="14">
        <f t="shared" si="3"/>
        <v>2.1570438799076213</v>
      </c>
      <c r="K10" s="15">
        <v>10300</v>
      </c>
      <c r="L10" s="16">
        <v>258</v>
      </c>
      <c r="M10" s="15">
        <v>11200</v>
      </c>
      <c r="N10" s="16">
        <v>265</v>
      </c>
      <c r="O10" s="10"/>
      <c r="P10" s="2">
        <f t="shared" si="4"/>
        <v>900</v>
      </c>
    </row>
    <row r="11" spans="1:16" x14ac:dyDescent="0.35">
      <c r="A11" s="22">
        <v>45200</v>
      </c>
      <c r="B11" s="5">
        <v>352</v>
      </c>
      <c r="C11" s="1">
        <v>572.88</v>
      </c>
      <c r="D11" s="24">
        <v>30.890999999999998</v>
      </c>
      <c r="E11" s="13">
        <f t="shared" si="2"/>
        <v>934000</v>
      </c>
      <c r="F11" s="13">
        <v>440000</v>
      </c>
      <c r="G11" s="13">
        <f t="shared" si="0"/>
        <v>1374000</v>
      </c>
      <c r="H11" s="13">
        <v>433000</v>
      </c>
      <c r="I11" s="13">
        <f t="shared" si="1"/>
        <v>941000</v>
      </c>
      <c r="J11" s="14">
        <f t="shared" si="3"/>
        <v>2.1732101616628174</v>
      </c>
      <c r="K11" s="15">
        <v>10800</v>
      </c>
      <c r="L11" s="16">
        <v>245</v>
      </c>
      <c r="M11" s="15">
        <v>11700</v>
      </c>
      <c r="N11" s="16">
        <v>255</v>
      </c>
      <c r="O11" s="10"/>
      <c r="P11" s="2">
        <f t="shared" si="4"/>
        <v>900</v>
      </c>
    </row>
    <row r="12" spans="1:16" x14ac:dyDescent="0.35">
      <c r="A12" s="22">
        <v>45231</v>
      </c>
      <c r="B12" s="5">
        <v>352</v>
      </c>
      <c r="C12" s="1">
        <v>562.23</v>
      </c>
      <c r="D12" s="24">
        <v>30.9</v>
      </c>
      <c r="E12" s="13">
        <f t="shared" si="2"/>
        <v>941000</v>
      </c>
      <c r="F12" s="13">
        <v>410000</v>
      </c>
      <c r="G12" s="13">
        <f t="shared" si="0"/>
        <v>1351000</v>
      </c>
      <c r="H12" s="13">
        <v>433000</v>
      </c>
      <c r="I12" s="13">
        <f t="shared" si="1"/>
        <v>918000</v>
      </c>
      <c r="J12" s="14">
        <f t="shared" si="3"/>
        <v>2.1200923787528869</v>
      </c>
      <c r="K12" s="15">
        <v>12700</v>
      </c>
      <c r="L12" s="16">
        <v>257</v>
      </c>
      <c r="M12" s="15">
        <v>12700</v>
      </c>
      <c r="N12" s="16">
        <v>249</v>
      </c>
      <c r="O12" s="10"/>
      <c r="P12" s="2">
        <f t="shared" si="4"/>
        <v>0</v>
      </c>
    </row>
    <row r="13" spans="1:16" x14ac:dyDescent="0.35">
      <c r="A13" s="22">
        <v>45261</v>
      </c>
      <c r="B13" s="5">
        <v>352</v>
      </c>
      <c r="C13" s="1">
        <v>611.65</v>
      </c>
      <c r="D13" s="24">
        <v>30.890999999999998</v>
      </c>
      <c r="E13" s="13">
        <f t="shared" si="2"/>
        <v>918000</v>
      </c>
      <c r="F13" s="13">
        <v>290000</v>
      </c>
      <c r="G13" s="13">
        <f t="shared" si="0"/>
        <v>1208000</v>
      </c>
      <c r="H13" s="13">
        <v>433000</v>
      </c>
      <c r="I13" s="13">
        <f t="shared" si="1"/>
        <v>775000</v>
      </c>
      <c r="J13" s="14">
        <f t="shared" si="3"/>
        <v>1.789838337182448</v>
      </c>
      <c r="K13" s="15">
        <v>12500</v>
      </c>
      <c r="L13" s="16">
        <v>286</v>
      </c>
      <c r="M13" s="15">
        <v>13450</v>
      </c>
      <c r="N13" s="16">
        <v>278</v>
      </c>
      <c r="O13" s="10"/>
      <c r="P13" s="2">
        <f t="shared" si="4"/>
        <v>950</v>
      </c>
    </row>
    <row r="14" spans="1:16" x14ac:dyDescent="0.35">
      <c r="A14" s="22">
        <v>45292</v>
      </c>
      <c r="B14" s="5">
        <v>400</v>
      </c>
      <c r="C14" s="1">
        <v>600.69000000000005</v>
      </c>
      <c r="D14" s="24">
        <v>30.896000000000001</v>
      </c>
      <c r="E14" s="13">
        <v>778000</v>
      </c>
      <c r="F14" s="13">
        <v>90000</v>
      </c>
      <c r="G14" s="13">
        <f t="shared" si="0"/>
        <v>868000</v>
      </c>
      <c r="H14" s="13">
        <v>433000</v>
      </c>
      <c r="I14" s="13">
        <f t="shared" si="1"/>
        <v>435000</v>
      </c>
      <c r="J14" s="14">
        <f t="shared" si="3"/>
        <v>1.0046189376443417</v>
      </c>
      <c r="K14" s="15">
        <v>14900</v>
      </c>
      <c r="L14" s="16">
        <v>260</v>
      </c>
      <c r="M14" s="15">
        <v>16450</v>
      </c>
      <c r="N14" s="16">
        <v>267</v>
      </c>
      <c r="O14" s="10"/>
      <c r="P14" s="2">
        <f t="shared" si="4"/>
        <v>1550</v>
      </c>
    </row>
    <row r="15" spans="1:16" x14ac:dyDescent="0.35">
      <c r="A15" s="22">
        <v>45323</v>
      </c>
      <c r="B15" s="5">
        <v>400</v>
      </c>
      <c r="C15" s="1">
        <v>586.21</v>
      </c>
      <c r="D15" s="24">
        <v>30.904</v>
      </c>
      <c r="E15" s="13">
        <v>435000</v>
      </c>
      <c r="F15" s="13">
        <v>330000</v>
      </c>
      <c r="G15" s="13">
        <f t="shared" si="0"/>
        <v>765000</v>
      </c>
      <c r="H15" s="13">
        <v>457000</v>
      </c>
      <c r="I15" s="13">
        <f t="shared" si="1"/>
        <v>308000</v>
      </c>
      <c r="J15" s="14">
        <f t="shared" si="3"/>
        <v>0.67396061269146612</v>
      </c>
      <c r="K15" s="19">
        <v>16000</v>
      </c>
      <c r="L15" s="16">
        <v>228</v>
      </c>
      <c r="M15" s="15">
        <v>16150</v>
      </c>
      <c r="N15" s="16">
        <v>233</v>
      </c>
      <c r="O15" s="10"/>
      <c r="P15" s="2">
        <f t="shared" si="4"/>
        <v>150</v>
      </c>
    </row>
    <row r="16" spans="1:16" x14ac:dyDescent="0.35">
      <c r="A16" s="22">
        <v>45352</v>
      </c>
      <c r="B16" s="5">
        <v>400</v>
      </c>
      <c r="C16" s="1">
        <v>542.12</v>
      </c>
      <c r="D16" s="24">
        <v>45.442999999999998</v>
      </c>
      <c r="E16" s="13">
        <v>308000</v>
      </c>
      <c r="F16" s="13">
        <v>750000</v>
      </c>
      <c r="G16" s="13">
        <f t="shared" si="0"/>
        <v>1058000</v>
      </c>
      <c r="H16" s="13">
        <v>494000</v>
      </c>
      <c r="I16" s="13">
        <f t="shared" si="1"/>
        <v>564000</v>
      </c>
      <c r="J16" s="14">
        <f t="shared" si="3"/>
        <v>1.1417004048582995</v>
      </c>
      <c r="K16" s="15">
        <v>13750</v>
      </c>
      <c r="L16" s="16">
        <v>220</v>
      </c>
      <c r="M16" s="15">
        <v>14150</v>
      </c>
      <c r="N16" s="16">
        <v>227</v>
      </c>
      <c r="O16" s="10"/>
      <c r="P16" s="2">
        <f t="shared" si="4"/>
        <v>400</v>
      </c>
    </row>
    <row r="17" spans="1:16" x14ac:dyDescent="0.35">
      <c r="A17" s="22">
        <v>45383</v>
      </c>
      <c r="B17" s="5">
        <v>400</v>
      </c>
      <c r="C17" s="1">
        <v>564.46</v>
      </c>
      <c r="D17" s="24">
        <v>47.817</v>
      </c>
      <c r="E17" s="13">
        <f>I16</f>
        <v>564000</v>
      </c>
      <c r="F17" s="13">
        <v>700000</v>
      </c>
      <c r="G17" s="13">
        <f t="shared" si="0"/>
        <v>1264000</v>
      </c>
      <c r="H17" s="13">
        <v>594000</v>
      </c>
      <c r="I17" s="13">
        <f t="shared" si="1"/>
        <v>670000</v>
      </c>
      <c r="J17" s="14">
        <f t="shared" si="3"/>
        <v>1.127946127946128</v>
      </c>
      <c r="K17" s="15">
        <v>12000</v>
      </c>
      <c r="L17" s="16">
        <v>227.5</v>
      </c>
      <c r="M17" s="15">
        <v>12150</v>
      </c>
      <c r="N17" s="16">
        <v>236.5</v>
      </c>
      <c r="O17" s="10"/>
      <c r="P17" s="2">
        <f t="shared" si="4"/>
        <v>150</v>
      </c>
    </row>
    <row r="18" spans="1:16" x14ac:dyDescent="0.35">
      <c r="A18" s="22">
        <v>45413</v>
      </c>
      <c r="B18" s="5">
        <v>400</v>
      </c>
      <c r="C18" s="1">
        <v>657.78</v>
      </c>
      <c r="D18" s="24">
        <v>47.256999999999998</v>
      </c>
      <c r="E18" s="13">
        <f>I17</f>
        <v>670000</v>
      </c>
      <c r="F18" s="13">
        <v>700000</v>
      </c>
      <c r="G18" s="13">
        <f t="shared" si="0"/>
        <v>1370000</v>
      </c>
      <c r="H18" s="13">
        <v>594000</v>
      </c>
      <c r="I18" s="13">
        <f t="shared" si="1"/>
        <v>776000</v>
      </c>
      <c r="J18" s="14">
        <f t="shared" si="3"/>
        <v>1.3063973063973064</v>
      </c>
      <c r="K18" s="15">
        <v>12375</v>
      </c>
      <c r="L18" s="16">
        <v>227</v>
      </c>
      <c r="M18" s="15">
        <v>12525</v>
      </c>
      <c r="N18" s="16">
        <v>234</v>
      </c>
      <c r="O18" s="10"/>
      <c r="P18" s="2">
        <f t="shared" si="4"/>
        <v>150</v>
      </c>
    </row>
    <row r="19" spans="1:16" x14ac:dyDescent="0.35">
      <c r="A19" s="22">
        <v>45444</v>
      </c>
      <c r="B19" s="5">
        <v>400</v>
      </c>
      <c r="C19" s="1">
        <v>603.03</v>
      </c>
      <c r="D19" s="24">
        <v>47.738</v>
      </c>
      <c r="E19" s="13">
        <f>I18</f>
        <v>776000</v>
      </c>
      <c r="F19" s="13">
        <v>640000</v>
      </c>
      <c r="G19" s="13">
        <f t="shared" si="0"/>
        <v>1416000</v>
      </c>
      <c r="H19" s="13">
        <v>619000</v>
      </c>
      <c r="I19" s="13">
        <f t="shared" si="1"/>
        <v>797000</v>
      </c>
      <c r="J19" s="14">
        <f t="shared" si="3"/>
        <v>1.2875605815831987</v>
      </c>
      <c r="K19" s="15">
        <v>13000</v>
      </c>
      <c r="L19" s="16">
        <v>234</v>
      </c>
      <c r="M19" s="15">
        <v>13200</v>
      </c>
      <c r="N19" s="16">
        <v>256</v>
      </c>
      <c r="O19" s="10"/>
      <c r="P19" s="2">
        <f t="shared" si="4"/>
        <v>200</v>
      </c>
    </row>
    <row r="20" spans="1:16" x14ac:dyDescent="0.35">
      <c r="A20" s="22">
        <v>45474</v>
      </c>
      <c r="B20" s="5">
        <v>400</v>
      </c>
      <c r="C20" s="1">
        <v>544.34</v>
      </c>
      <c r="D20" s="24">
        <v>48.183999999999997</v>
      </c>
      <c r="E20" s="13">
        <f>I19</f>
        <v>797000</v>
      </c>
      <c r="F20" s="13">
        <v>700000</v>
      </c>
      <c r="G20" s="13">
        <f t="shared" si="0"/>
        <v>1497000</v>
      </c>
      <c r="H20" s="13">
        <v>619000</v>
      </c>
      <c r="I20" s="13">
        <f t="shared" si="1"/>
        <v>878000</v>
      </c>
      <c r="J20" s="14">
        <f t="shared" si="3"/>
        <v>1.4184168012924072</v>
      </c>
      <c r="K20" s="15">
        <v>11700</v>
      </c>
      <c r="L20" s="16">
        <v>227</v>
      </c>
      <c r="M20" s="15">
        <v>12050</v>
      </c>
      <c r="N20" s="16">
        <v>234</v>
      </c>
      <c r="O20" s="10"/>
      <c r="P20" s="2">
        <f t="shared" si="4"/>
        <v>350</v>
      </c>
    </row>
    <row r="21" spans="1:16" x14ac:dyDescent="0.35">
      <c r="A21" s="22">
        <v>45505</v>
      </c>
      <c r="B21" s="5">
        <v>400</v>
      </c>
      <c r="C21" s="1">
        <v>526.66999999999996</v>
      </c>
      <c r="D21" s="24">
        <v>48.183999999999997</v>
      </c>
      <c r="E21" s="13">
        <v>878000</v>
      </c>
      <c r="F21" s="13">
        <v>800000</v>
      </c>
      <c r="G21" s="13">
        <f t="shared" si="0"/>
        <v>1678000</v>
      </c>
      <c r="H21" s="13">
        <v>533000</v>
      </c>
      <c r="I21" s="13">
        <f t="shared" si="1"/>
        <v>1145000</v>
      </c>
      <c r="J21" s="14">
        <f t="shared" si="3"/>
        <v>2.148217636022514</v>
      </c>
      <c r="K21" s="15">
        <v>12300</v>
      </c>
      <c r="L21" s="16">
        <v>232.5</v>
      </c>
      <c r="M21" s="15">
        <v>12100</v>
      </c>
      <c r="N21" s="16">
        <v>239</v>
      </c>
      <c r="O21" s="10"/>
      <c r="P21" s="2">
        <f t="shared" si="4"/>
        <v>-200</v>
      </c>
    </row>
    <row r="22" spans="1:16" x14ac:dyDescent="0.35">
      <c r="A22" s="22">
        <v>45536</v>
      </c>
      <c r="B22" s="5">
        <v>400</v>
      </c>
      <c r="C22" s="1">
        <v>570.41</v>
      </c>
      <c r="D22" s="24">
        <v>48.451000000000001</v>
      </c>
      <c r="E22" s="13">
        <f>I21</f>
        <v>1145000</v>
      </c>
      <c r="F22" s="13">
        <v>790000</v>
      </c>
      <c r="G22" s="13">
        <f t="shared" si="0"/>
        <v>1935000</v>
      </c>
      <c r="H22" s="13">
        <v>533000</v>
      </c>
      <c r="I22" s="13">
        <f t="shared" si="1"/>
        <v>1402000</v>
      </c>
      <c r="J22" s="14">
        <f t="shared" si="3"/>
        <v>2.6303939962476548</v>
      </c>
      <c r="K22" s="15">
        <v>11530</v>
      </c>
      <c r="L22" s="16">
        <v>232</v>
      </c>
      <c r="M22" s="15">
        <v>11750</v>
      </c>
      <c r="N22" s="16">
        <v>243</v>
      </c>
      <c r="O22" s="10"/>
      <c r="P22" s="2">
        <f t="shared" si="4"/>
        <v>220</v>
      </c>
    </row>
    <row r="23" spans="1:16" x14ac:dyDescent="0.35">
      <c r="A23" s="22">
        <v>45931</v>
      </c>
      <c r="B23" s="5">
        <v>400</v>
      </c>
      <c r="C23" s="1">
        <v>585.35</v>
      </c>
      <c r="D23" s="24">
        <v>48.59</v>
      </c>
      <c r="E23" s="20">
        <v>1402000</v>
      </c>
      <c r="F23" s="20">
        <v>720000</v>
      </c>
      <c r="G23" s="20">
        <v>2122000</v>
      </c>
      <c r="H23" s="20">
        <v>533000</v>
      </c>
      <c r="I23" s="20">
        <v>1589000</v>
      </c>
      <c r="J23" s="14">
        <f t="shared" si="3"/>
        <v>2.9812382739212007</v>
      </c>
      <c r="K23" s="15">
        <v>11900</v>
      </c>
      <c r="L23" s="16">
        <v>245</v>
      </c>
      <c r="M23" s="15">
        <v>12100</v>
      </c>
      <c r="N23" s="16">
        <v>250</v>
      </c>
      <c r="O23" s="10"/>
      <c r="P23" s="2">
        <f t="shared" si="4"/>
        <v>200</v>
      </c>
    </row>
    <row r="24" spans="1:16" x14ac:dyDescent="0.35">
      <c r="A24" s="22">
        <v>45985</v>
      </c>
      <c r="B24" s="5">
        <v>400</v>
      </c>
      <c r="C24" s="1">
        <v>553.03</v>
      </c>
      <c r="D24" s="24">
        <v>49.408999999999999</v>
      </c>
      <c r="E24" s="20">
        <v>1589000</v>
      </c>
      <c r="F24" s="20">
        <v>630000</v>
      </c>
      <c r="G24" s="20">
        <v>2219000</v>
      </c>
      <c r="H24" s="20">
        <v>533000</v>
      </c>
      <c r="I24" s="20">
        <v>1686000</v>
      </c>
      <c r="J24" s="14">
        <f t="shared" si="3"/>
        <v>3.1632270168855534</v>
      </c>
      <c r="K24" s="15">
        <v>12300</v>
      </c>
      <c r="L24" s="16">
        <v>240</v>
      </c>
      <c r="M24" s="15">
        <v>12100</v>
      </c>
      <c r="N24" s="16">
        <v>248</v>
      </c>
      <c r="O24" s="10"/>
      <c r="P24" s="2">
        <f t="shared" si="4"/>
        <v>-200</v>
      </c>
    </row>
    <row r="25" spans="1:16" x14ac:dyDescent="0.35">
      <c r="A25" s="22">
        <v>46015</v>
      </c>
      <c r="B25" s="5">
        <v>400</v>
      </c>
      <c r="C25" s="1">
        <v>541.41</v>
      </c>
      <c r="D25" s="24">
        <v>50.582000000000001</v>
      </c>
      <c r="E25" s="20">
        <v>1686000</v>
      </c>
      <c r="F25" s="20">
        <v>450000</v>
      </c>
      <c r="G25" s="20">
        <v>2136000</v>
      </c>
      <c r="H25" s="20">
        <v>933000</v>
      </c>
      <c r="I25" s="20">
        <v>1203000</v>
      </c>
      <c r="J25" s="14">
        <f t="shared" si="3"/>
        <v>1.2893890675241158</v>
      </c>
      <c r="K25" s="15">
        <v>12400</v>
      </c>
      <c r="L25" s="16">
        <v>250</v>
      </c>
      <c r="M25" s="15">
        <v>12750</v>
      </c>
      <c r="N25" s="16">
        <v>255</v>
      </c>
      <c r="O25" s="10"/>
      <c r="P25" s="2">
        <f t="shared" si="4"/>
        <v>350</v>
      </c>
    </row>
    <row r="26" spans="1:16" x14ac:dyDescent="0.35">
      <c r="A26" s="22">
        <v>45682</v>
      </c>
      <c r="B26" s="5">
        <v>529</v>
      </c>
      <c r="C26" s="1">
        <v>545.19000000000005</v>
      </c>
      <c r="D26" s="24">
        <v>50.44</v>
      </c>
      <c r="E26" s="20">
        <v>1205000</v>
      </c>
      <c r="F26" s="20">
        <v>700000</v>
      </c>
      <c r="G26" s="20">
        <v>1905000</v>
      </c>
      <c r="H26" s="20">
        <v>583000</v>
      </c>
      <c r="I26" s="20">
        <v>1322000</v>
      </c>
      <c r="J26" s="14">
        <f t="shared" si="3"/>
        <v>2.2675814751286447</v>
      </c>
      <c r="K26" s="15">
        <v>13000</v>
      </c>
      <c r="L26" s="16">
        <v>250</v>
      </c>
      <c r="M26" s="15">
        <v>13150</v>
      </c>
      <c r="N26" s="16">
        <v>255</v>
      </c>
      <c r="O26" s="10"/>
      <c r="P26" s="2">
        <f t="shared" si="4"/>
        <v>150</v>
      </c>
    </row>
    <row r="27" spans="1:16" x14ac:dyDescent="0.35">
      <c r="A27" s="22">
        <v>45713</v>
      </c>
      <c r="B27" s="5">
        <v>529</v>
      </c>
      <c r="C27" s="1">
        <v>578.08000000000004</v>
      </c>
      <c r="D27" s="24">
        <v>50.509</v>
      </c>
      <c r="E27" s="20">
        <v>1322000</v>
      </c>
      <c r="F27" s="20">
        <v>1527000</v>
      </c>
      <c r="G27" s="20">
        <v>2849000</v>
      </c>
      <c r="H27" s="20">
        <v>507000</v>
      </c>
      <c r="I27" s="20">
        <v>2342000</v>
      </c>
      <c r="J27" s="14">
        <f t="shared" si="3"/>
        <v>4.6193293885601578</v>
      </c>
      <c r="K27" s="15">
        <v>13345</v>
      </c>
      <c r="L27" s="16">
        <v>260</v>
      </c>
      <c r="M27" s="15">
        <v>13250</v>
      </c>
      <c r="N27" s="16">
        <v>265</v>
      </c>
      <c r="O27" s="10"/>
      <c r="P27" s="2">
        <f t="shared" si="4"/>
        <v>-95</v>
      </c>
    </row>
    <row r="28" spans="1:16" x14ac:dyDescent="0.35">
      <c r="A28" s="22">
        <v>45741</v>
      </c>
      <c r="B28" s="5">
        <v>529</v>
      </c>
      <c r="C28" s="1">
        <v>544.07000000000005</v>
      </c>
      <c r="D28" s="24">
        <v>50.581000000000003</v>
      </c>
      <c r="E28" s="20">
        <v>2343000</v>
      </c>
      <c r="F28" s="20">
        <v>650000</v>
      </c>
      <c r="G28" s="20">
        <v>2993000</v>
      </c>
      <c r="H28" s="20">
        <v>644000</v>
      </c>
      <c r="I28" s="20">
        <v>2349000</v>
      </c>
      <c r="J28" s="14">
        <f t="shared" si="3"/>
        <v>3.6475155279503104</v>
      </c>
      <c r="K28" s="15">
        <v>13260</v>
      </c>
      <c r="L28" s="16">
        <v>263</v>
      </c>
      <c r="M28" s="15">
        <v>13600</v>
      </c>
      <c r="N28" s="16">
        <v>268</v>
      </c>
      <c r="O28" s="10"/>
      <c r="P28" s="2">
        <f t="shared" si="4"/>
        <v>340</v>
      </c>
    </row>
    <row r="29" spans="1:16" x14ac:dyDescent="0.35">
      <c r="A29" s="22">
        <v>45772</v>
      </c>
      <c r="B29" s="5">
        <v>529</v>
      </c>
      <c r="C29" s="1">
        <v>535.85</v>
      </c>
      <c r="D29" s="24">
        <v>50.581000000000003</v>
      </c>
      <c r="E29" s="20">
        <v>2349000</v>
      </c>
      <c r="F29" s="20">
        <v>420000</v>
      </c>
      <c r="G29" s="20">
        <v>2769000</v>
      </c>
      <c r="H29" s="20">
        <v>744000</v>
      </c>
      <c r="I29" s="20">
        <v>2025000</v>
      </c>
      <c r="J29" s="14">
        <f t="shared" si="3"/>
        <v>2.721774193548387</v>
      </c>
      <c r="K29" s="15">
        <v>13450</v>
      </c>
      <c r="L29" s="16">
        <v>257</v>
      </c>
      <c r="M29" s="15">
        <v>13700</v>
      </c>
      <c r="N29" s="16">
        <v>262</v>
      </c>
      <c r="O29" s="10"/>
      <c r="P29" s="2">
        <f t="shared" si="4"/>
        <v>250</v>
      </c>
    </row>
    <row r="30" spans="1:16" x14ac:dyDescent="0.35">
      <c r="A30" s="22">
        <v>45802</v>
      </c>
      <c r="B30" s="5">
        <v>529</v>
      </c>
      <c r="C30" s="1">
        <v>525.09</v>
      </c>
      <c r="D30" s="24">
        <v>50.581000000000003</v>
      </c>
      <c r="E30" s="20">
        <v>2025000</v>
      </c>
      <c r="F30" s="20">
        <v>412000</v>
      </c>
      <c r="G30" s="20">
        <v>2437000</v>
      </c>
      <c r="H30" s="20">
        <v>744000</v>
      </c>
      <c r="I30" s="20">
        <v>1693000</v>
      </c>
      <c r="J30" s="14">
        <f t="shared" si="3"/>
        <v>2.275537634408602</v>
      </c>
      <c r="K30" s="15">
        <v>13460</v>
      </c>
      <c r="L30" s="16">
        <v>254</v>
      </c>
      <c r="M30" s="15">
        <v>13650</v>
      </c>
      <c r="N30" s="16">
        <v>260</v>
      </c>
      <c r="O30" s="10"/>
      <c r="P30" s="2">
        <f t="shared" si="4"/>
        <v>190</v>
      </c>
    </row>
    <row r="31" spans="1:16" x14ac:dyDescent="0.35">
      <c r="A31" s="22">
        <v>45833</v>
      </c>
      <c r="B31" s="5">
        <v>529</v>
      </c>
      <c r="C31" s="1">
        <v>541.48</v>
      </c>
      <c r="D31" s="24">
        <v>49.933999999999997</v>
      </c>
      <c r="E31" s="20">
        <v>1693000</v>
      </c>
      <c r="F31" s="20">
        <v>540000</v>
      </c>
      <c r="G31" s="20">
        <v>2233000</v>
      </c>
      <c r="H31" s="20">
        <v>769000</v>
      </c>
      <c r="I31" s="20">
        <v>1464000</v>
      </c>
      <c r="J31" s="14">
        <f t="shared" si="3"/>
        <v>1.9037711313394019</v>
      </c>
      <c r="K31" s="15">
        <v>13475</v>
      </c>
      <c r="L31" s="16">
        <v>248</v>
      </c>
      <c r="M31" s="15">
        <v>13730</v>
      </c>
      <c r="N31" s="16">
        <v>243</v>
      </c>
      <c r="O31" s="10"/>
      <c r="P31" s="2">
        <f t="shared" si="4"/>
        <v>255</v>
      </c>
    </row>
    <row r="32" spans="1:16" x14ac:dyDescent="0.35">
      <c r="A32" s="22">
        <v>45863</v>
      </c>
      <c r="B32" s="5">
        <v>529</v>
      </c>
      <c r="C32" s="1">
        <v>540.08000000000004</v>
      </c>
      <c r="D32" s="24">
        <v>49.250999999999998</v>
      </c>
      <c r="E32" s="20">
        <v>1464000</v>
      </c>
      <c r="F32" s="20">
        <v>412000</v>
      </c>
      <c r="G32" s="20">
        <v>1876000</v>
      </c>
      <c r="H32" s="20">
        <v>769000</v>
      </c>
      <c r="I32" s="20">
        <v>1107000</v>
      </c>
      <c r="J32" s="14">
        <f t="shared" si="3"/>
        <v>1.4395318595578674</v>
      </c>
      <c r="K32" s="15">
        <v>13680</v>
      </c>
      <c r="L32" s="16">
        <v>252.5</v>
      </c>
      <c r="M32" s="15">
        <v>14050</v>
      </c>
      <c r="N32" s="16">
        <v>254.5</v>
      </c>
      <c r="O32" s="10"/>
      <c r="P32" s="2">
        <f t="shared" si="4"/>
        <v>370</v>
      </c>
    </row>
    <row r="33" spans="1:16" x14ac:dyDescent="0.35">
      <c r="A33" s="22">
        <v>45894</v>
      </c>
      <c r="B33" s="5">
        <v>529</v>
      </c>
      <c r="C33" s="1">
        <v>509</v>
      </c>
      <c r="D33" s="24">
        <v>48.484000000000002</v>
      </c>
      <c r="E33" s="20">
        <v>1107000</v>
      </c>
      <c r="F33" s="20">
        <v>800000</v>
      </c>
      <c r="G33" s="20">
        <v>1907000</v>
      </c>
      <c r="H33" s="20">
        <v>683000</v>
      </c>
      <c r="I33" s="20">
        <v>1224000</v>
      </c>
      <c r="J33" s="14">
        <f t="shared" si="3"/>
        <v>1.7920937042459737</v>
      </c>
      <c r="K33" s="15">
        <v>12985</v>
      </c>
      <c r="L33" s="16">
        <v>248</v>
      </c>
      <c r="M33" s="15">
        <v>13190</v>
      </c>
      <c r="N33" s="16">
        <v>253.5</v>
      </c>
      <c r="O33" s="10"/>
      <c r="P33" s="2">
        <f t="shared" si="4"/>
        <v>205</v>
      </c>
    </row>
    <row r="34" spans="1:16" x14ac:dyDescent="0.35">
      <c r="A34" s="22">
        <v>45925</v>
      </c>
      <c r="B34" s="5">
        <v>529</v>
      </c>
      <c r="C34" s="1">
        <v>514.04999999999995</v>
      </c>
      <c r="D34" s="24">
        <v>48.215000000000003</v>
      </c>
      <c r="E34" s="20">
        <v>1224000</v>
      </c>
      <c r="F34" s="20">
        <v>790000</v>
      </c>
      <c r="G34" s="20">
        <v>2014000</v>
      </c>
      <c r="H34" s="20">
        <v>683000</v>
      </c>
      <c r="I34" s="20">
        <v>1331000</v>
      </c>
      <c r="J34" s="14">
        <f t="shared" si="3"/>
        <v>1.9487554904831625</v>
      </c>
      <c r="K34" s="15">
        <v>12325</v>
      </c>
      <c r="L34" s="16">
        <v>247.7</v>
      </c>
      <c r="M34" s="15">
        <v>12520</v>
      </c>
      <c r="N34" s="16">
        <v>254.5</v>
      </c>
      <c r="O34" s="10"/>
      <c r="P34" s="2">
        <f t="shared" si="4"/>
        <v>195</v>
      </c>
    </row>
    <row r="35" spans="1:16" x14ac:dyDescent="0.35">
      <c r="A35" s="22">
        <v>45931</v>
      </c>
      <c r="B35" s="5">
        <v>529</v>
      </c>
      <c r="C35" s="1">
        <v>510</v>
      </c>
      <c r="D35" s="24">
        <v>47.5</v>
      </c>
      <c r="E35" s="20">
        <f>I34</f>
        <v>1331000</v>
      </c>
      <c r="F35" s="20">
        <v>720000</v>
      </c>
      <c r="G35" s="20">
        <f>E35+F35</f>
        <v>2051000</v>
      </c>
      <c r="H35" s="20">
        <v>683000</v>
      </c>
      <c r="I35" s="20">
        <f>G35-H35</f>
        <v>1368000</v>
      </c>
      <c r="J35" s="14">
        <f t="shared" si="3"/>
        <v>2.0029282576866763</v>
      </c>
      <c r="K35" s="15">
        <v>12700</v>
      </c>
      <c r="L35" s="16">
        <v>267.36</v>
      </c>
      <c r="M35" s="15">
        <v>12900</v>
      </c>
      <c r="N35" s="16">
        <v>271.57</v>
      </c>
      <c r="O35" s="10"/>
      <c r="P35" s="2">
        <f t="shared" si="4"/>
        <v>200</v>
      </c>
    </row>
    <row r="36" spans="1:16" x14ac:dyDescent="0.35">
      <c r="A36" s="22">
        <v>45962</v>
      </c>
      <c r="B36" s="5">
        <v>529</v>
      </c>
      <c r="C36" s="1">
        <v>540</v>
      </c>
      <c r="D36" s="24">
        <v>47.3</v>
      </c>
      <c r="E36" s="20">
        <f>I35</f>
        <v>1368000</v>
      </c>
      <c r="F36" s="20">
        <v>630000</v>
      </c>
      <c r="G36" s="20">
        <f>E36+F36</f>
        <v>1998000</v>
      </c>
      <c r="H36" s="20">
        <v>683000</v>
      </c>
      <c r="I36" s="20">
        <f>G36-H36</f>
        <v>1315000</v>
      </c>
      <c r="J36" s="14">
        <f t="shared" si="3"/>
        <v>1.9253294289897511</v>
      </c>
      <c r="K36" s="15">
        <v>12300</v>
      </c>
      <c r="L36" s="16">
        <v>260</v>
      </c>
      <c r="M36" s="15">
        <v>12500</v>
      </c>
      <c r="N36" s="16">
        <v>264</v>
      </c>
      <c r="O36" s="10"/>
      <c r="P36" s="2">
        <f t="shared" si="4"/>
        <v>200</v>
      </c>
    </row>
    <row r="37" spans="1:16" x14ac:dyDescent="0.35">
      <c r="A37" s="22">
        <v>45992</v>
      </c>
      <c r="B37" s="5">
        <v>429</v>
      </c>
      <c r="C37" s="1">
        <v>533</v>
      </c>
      <c r="D37" s="24">
        <v>47.4</v>
      </c>
      <c r="E37" s="20">
        <f>I36</f>
        <v>1315000</v>
      </c>
      <c r="F37" s="20">
        <v>700000</v>
      </c>
      <c r="G37" s="20">
        <f>E37+F37</f>
        <v>2015000</v>
      </c>
      <c r="H37" s="20">
        <v>600000</v>
      </c>
      <c r="I37" s="20">
        <f>G37-H37</f>
        <v>1415000</v>
      </c>
      <c r="J37" s="14">
        <f t="shared" si="3"/>
        <v>2.3583333333333334</v>
      </c>
      <c r="K37" s="15">
        <v>12300</v>
      </c>
      <c r="L37" s="16">
        <f>K37/D37</f>
        <v>259.49367088607596</v>
      </c>
      <c r="M37" s="15">
        <v>12500</v>
      </c>
      <c r="N37" s="16">
        <f>M37/D37</f>
        <v>263.7130801687764</v>
      </c>
      <c r="O37" s="10"/>
      <c r="P37" s="2">
        <f t="shared" si="4"/>
        <v>200</v>
      </c>
    </row>
    <row r="38" spans="1:16" x14ac:dyDescent="0.35">
      <c r="A38" s="22">
        <v>46023</v>
      </c>
      <c r="B38" s="5">
        <v>429</v>
      </c>
      <c r="C38" s="1">
        <v>563</v>
      </c>
      <c r="D38" s="24">
        <v>47.25</v>
      </c>
      <c r="E38" s="20">
        <f>I37</f>
        <v>1415000</v>
      </c>
      <c r="F38" s="20">
        <v>400000</v>
      </c>
      <c r="G38" s="20">
        <f>E38+F38</f>
        <v>1815000</v>
      </c>
      <c r="H38" s="20">
        <v>600000</v>
      </c>
      <c r="I38" s="20">
        <f>G38-H38</f>
        <v>1215000</v>
      </c>
      <c r="J38" s="14">
        <f t="shared" si="3"/>
        <v>2.0249999999999999</v>
      </c>
      <c r="K38" s="15">
        <v>0</v>
      </c>
      <c r="L38" s="16"/>
      <c r="M38" s="15">
        <v>12637.280174752979</v>
      </c>
      <c r="N38" s="16" t="s">
        <v>15</v>
      </c>
      <c r="O38" s="10"/>
      <c r="P38" s="2"/>
    </row>
    <row r="39" spans="1:16" x14ac:dyDescent="0.35">
      <c r="A39" s="22">
        <v>46054</v>
      </c>
      <c r="B39" s="5">
        <v>429</v>
      </c>
      <c r="C39" s="1">
        <v>596</v>
      </c>
      <c r="D39" s="24">
        <v>47.148400000000002</v>
      </c>
      <c r="E39" s="20">
        <v>1600000</v>
      </c>
      <c r="F39" s="20">
        <v>700000</v>
      </c>
      <c r="G39" s="20">
        <f>E39+F39</f>
        <v>2300000</v>
      </c>
      <c r="H39" s="20">
        <v>657000</v>
      </c>
      <c r="I39" s="20">
        <f>G39-H39</f>
        <v>1643000</v>
      </c>
      <c r="J39" s="14">
        <f t="shared" si="3"/>
        <v>2.5007610350076104</v>
      </c>
      <c r="K39" s="15">
        <v>0</v>
      </c>
      <c r="L39" s="16">
        <v>250</v>
      </c>
      <c r="M39" s="15"/>
      <c r="N39" s="16">
        <v>255</v>
      </c>
      <c r="O39" s="10"/>
      <c r="P39" s="2"/>
    </row>
    <row r="40" spans="1:16" x14ac:dyDescent="0.35">
      <c r="A40" s="22">
        <v>46082</v>
      </c>
      <c r="B40" s="3"/>
      <c r="C40" s="1">
        <v>564</v>
      </c>
      <c r="D40" s="24">
        <v>50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6" x14ac:dyDescent="0.35">
      <c r="A41" s="22">
        <v>46113</v>
      </c>
      <c r="B41" s="3"/>
      <c r="C41" s="1">
        <v>571</v>
      </c>
      <c r="D41" s="24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6" x14ac:dyDescent="0.35">
      <c r="A42" s="22">
        <v>46143</v>
      </c>
      <c r="B42" s="3"/>
      <c r="C42" s="1">
        <v>636</v>
      </c>
      <c r="D42" s="24">
        <v>52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6" x14ac:dyDescent="0.35">
      <c r="A43" s="21"/>
      <c r="B43" s="3"/>
      <c r="C43" s="3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6" x14ac:dyDescent="0.35">
      <c r="A44" s="21"/>
      <c r="B44" s="3"/>
      <c r="C44" s="3"/>
      <c r="D44" s="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6" x14ac:dyDescent="0.35">
      <c r="A45" s="21"/>
      <c r="B45" s="3"/>
      <c r="C45" s="3"/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6" x14ac:dyDescent="0.35">
      <c r="A46" s="21"/>
      <c r="B46" s="3"/>
      <c r="C46" s="3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6" x14ac:dyDescent="0.35">
      <c r="A47" s="21"/>
      <c r="B47" s="3"/>
      <c r="C47" s="3"/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6" x14ac:dyDescent="0.35">
      <c r="A48" s="21"/>
      <c r="B48" s="3"/>
      <c r="C48" s="3"/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5">
      <c r="A49" s="21"/>
      <c r="B49" s="3"/>
      <c r="C49" s="3"/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5">
      <c r="A50" s="21"/>
      <c r="B50" s="3"/>
      <c r="C50" s="3"/>
      <c r="D50" s="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5">
      <c r="A51" s="21"/>
      <c r="B51" s="3"/>
      <c r="C51" s="3"/>
      <c r="D51" s="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5">
      <c r="A52" s="21"/>
      <c r="B52" s="3"/>
      <c r="C52" s="3"/>
      <c r="D52" s="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5">
      <c r="A53" s="21"/>
      <c r="B53" s="3"/>
      <c r="C53" s="3"/>
      <c r="D53" s="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5">
      <c r="A54" s="21"/>
      <c r="B54" s="3"/>
      <c r="C54" s="3"/>
      <c r="D54" s="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5">
      <c r="A55" s="21"/>
      <c r="B55" s="3"/>
      <c r="C55" s="3"/>
      <c r="D55" s="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5">
      <c r="A56" s="21"/>
      <c r="B56" s="3"/>
      <c r="C56" s="3"/>
      <c r="D56" s="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5">
      <c r="A57" s="21"/>
      <c r="B57" s="3"/>
      <c r="C57" s="3"/>
      <c r="D57" s="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5">
      <c r="A58" s="21"/>
      <c r="B58" s="3"/>
      <c r="C58" s="3"/>
      <c r="D58" s="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5">
      <c r="A59" s="21"/>
      <c r="B59" s="3"/>
      <c r="C59" s="3"/>
      <c r="D59" s="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5">
      <c r="A60" s="21"/>
      <c r="B60" s="3"/>
      <c r="C60" s="3"/>
      <c r="D60" s="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5">
      <c r="A61" s="21"/>
      <c r="B61" s="3"/>
      <c r="C61" s="3"/>
      <c r="D61" s="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5">
      <c r="A62" s="21"/>
      <c r="B62" s="3"/>
      <c r="C62" s="3"/>
      <c r="D62" s="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5">
      <c r="A63" s="21"/>
      <c r="B63" s="3"/>
      <c r="C63" s="3"/>
      <c r="D63" s="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5">
      <c r="A64" s="21"/>
      <c r="B64" s="3"/>
      <c r="C64" s="3"/>
      <c r="D64" s="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5">
      <c r="A65" s="21"/>
      <c r="B65" s="3"/>
      <c r="C65" s="3"/>
      <c r="D65" s="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5">
      <c r="A66" s="21"/>
      <c r="B66" s="3"/>
      <c r="C66" s="3"/>
      <c r="D66" s="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5">
      <c r="A67" s="21"/>
      <c r="B67" s="3"/>
      <c r="C67" s="3"/>
      <c r="D67" s="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5">
      <c r="A68" s="21"/>
      <c r="B68" s="3"/>
      <c r="C68" s="3"/>
      <c r="D68" s="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5">
      <c r="A69" s="21"/>
      <c r="B69" s="3"/>
      <c r="C69" s="3"/>
      <c r="D69" s="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5">
      <c r="A70" s="21"/>
      <c r="B70" s="3"/>
      <c r="C70" s="3"/>
      <c r="D70" s="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5">
      <c r="A71" s="21"/>
      <c r="B71" s="3"/>
      <c r="C71" s="3"/>
      <c r="D71" s="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5">
      <c r="A72" s="21"/>
      <c r="B72" s="3"/>
      <c r="C72" s="3"/>
      <c r="D72" s="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5">
      <c r="A73" s="21"/>
      <c r="B73" s="3"/>
      <c r="C73" s="3"/>
      <c r="D73" s="1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5">
      <c r="A74" s="21"/>
      <c r="B74" s="3"/>
      <c r="C74" s="3"/>
      <c r="D74" s="1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5">
      <c r="A75" s="21"/>
      <c r="B75" s="3"/>
      <c r="C75" s="3"/>
      <c r="D75" s="1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5">
      <c r="A76" s="21"/>
      <c r="B76" s="3"/>
      <c r="C76" s="3"/>
      <c r="D76" s="1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5">
      <c r="A77" s="21"/>
      <c r="B77" s="3"/>
      <c r="C77" s="3"/>
      <c r="D77" s="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5">
      <c r="A78" s="21"/>
      <c r="B78" s="3"/>
      <c r="C78" s="3"/>
      <c r="D78" s="1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5">
      <c r="A79" s="21"/>
      <c r="B79" s="3"/>
      <c r="C79" s="3"/>
      <c r="D79" s="1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5">
      <c r="A80" s="21"/>
      <c r="B80" s="3"/>
      <c r="C80" s="3"/>
      <c r="D80" s="1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5">
      <c r="A81" s="21"/>
      <c r="B81" s="3"/>
      <c r="C81" s="3"/>
      <c r="D81" s="1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Sherif, Zeina</dc:creator>
  <cp:lastModifiedBy>Sherif, Zeina</cp:lastModifiedBy>
  <dcterms:created xsi:type="dcterms:W3CDTF">2015-06-05T18:19:34Z</dcterms:created>
  <dcterms:modified xsi:type="dcterms:W3CDTF">2026-06-03T13:52:04Z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2025-10-28T12:24:44Z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0564bb71-6eb5-4095-b0a6-ecebef465574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