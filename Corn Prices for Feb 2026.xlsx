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OUTPUT/"/>
    </mc:Choice>
  </mc:AlternateContent>
  <xr:revisionPtr revIDLastSave="87" documentId="8_{567116EE-68B1-44E4-82CA-602E37717117}" xr6:coauthVersionLast="47" xr6:coauthVersionMax="47" xr10:uidLastSave="{D46BB390-6FA6-4DE0-9832-18E5B5DF2DD6}"/>
  <bookViews>
    <workbookView xWindow="-110" yWindow="-110" windowWidth="19420" windowHeight="10300" xr2:uid="{00000000-000D-0000-FFFF-FFFF00000000}"/>
  </bookViews>
  <sheets>
    <sheet name="OPEN" sheetId="1" r:id="rId1"/>
    <sheet name="LOW" sheetId="2" r:id="rId2"/>
    <sheet name="HIGH" sheetId="3" r:id="rId3"/>
    <sheet name="CLOS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4" l="1"/>
  <c r="J9" i="4"/>
  <c r="I8" i="4"/>
  <c r="I10" i="4"/>
  <c r="I9" i="4"/>
  <c r="J8" i="4"/>
  <c r="I11" i="3"/>
  <c r="I10" i="3"/>
  <c r="I9" i="3"/>
  <c r="H11" i="3"/>
  <c r="H10" i="3"/>
  <c r="H9" i="3"/>
  <c r="J9" i="2"/>
  <c r="J8" i="2"/>
  <c r="J7" i="2"/>
  <c r="I9" i="2"/>
  <c r="I8" i="2"/>
  <c r="I7" i="2"/>
  <c r="I9" i="1"/>
  <c r="I8" i="1"/>
  <c r="I7" i="1"/>
  <c r="H9" i="1"/>
  <c r="H8" i="1"/>
  <c r="H7" i="1"/>
</calcChain>
</file>

<file path=xl/sharedStrings.xml><?xml version="1.0" encoding="utf-8"?>
<sst xmlns="http://schemas.openxmlformats.org/spreadsheetml/2006/main" count="40" uniqueCount="19">
  <si>
    <t>Date</t>
  </si>
  <si>
    <t>Dollar Rate</t>
  </si>
  <si>
    <t>CBOT (Low Futures)</t>
  </si>
  <si>
    <t>ARG Daily Price (Low Futures)</t>
  </si>
  <si>
    <t>BRZ Daily Price (Low Futures)</t>
  </si>
  <si>
    <t>CBOT (High Futures)</t>
  </si>
  <si>
    <t>ARG Daily Price (High Futures)</t>
  </si>
  <si>
    <t>BRZ Daily Price (High Futures)</t>
  </si>
  <si>
    <t>CBOT (Open Futures)</t>
  </si>
  <si>
    <t>ARG Daily Price (Open Futures)</t>
  </si>
  <si>
    <t>BRZ Daily Price (Open Futures)</t>
  </si>
  <si>
    <t>CBOT (Close Futures)</t>
  </si>
  <si>
    <t>ARG Daily Price (Close Futures)</t>
  </si>
  <si>
    <t>BRZ Daily Price (Close Futures)</t>
  </si>
  <si>
    <t>ARG</t>
  </si>
  <si>
    <t>BRZ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</si>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</sst>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DC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H13" sqref="H13"/>
    </sheetView>
  </sheetViews>
  <sheetFormatPr defaultRowHeight="14.5" x14ac:dyDescent="0.35"/>
  <cols>
    <col min="1" max="1" width="17.81640625" style="3" bestFit="1" customWidth="1"/>
    <col min="2" max="2" width="10.08984375" bestFit="1" customWidth="1"/>
    <col min="3" max="3" width="18.6328125" bestFit="1" customWidth="1"/>
    <col min="4" max="4" width="26.90625" bestFit="1" customWidth="1"/>
    <col min="5" max="5" width="26.54296875" bestFit="1" customWidth="1"/>
  </cols>
  <sheetData>
    <row r="1" spans="1:11" x14ac:dyDescent="0.35">
      <c r="A1" s="2" t="s">
        <v>0</v>
      </c>
      <c r="B1" s="1" t="s">
        <v>1</v>
      </c>
      <c r="C1" s="1" t="s">
        <v>8</v>
      </c>
      <c r="D1" s="6" t="s">
        <v>9</v>
      </c>
      <c r="E1" s="6" t="s">
        <v>10</v>
      </c>
    </row>
    <row r="2" spans="1:11" x14ac:dyDescent="0.35">
      <c r="A2" s="2">
        <v>46054</v>
      </c>
      <c r="B2" s="8">
        <v>47.1</v>
      </c>
      <c r="C2" s="8">
        <v>423.1</v>
      </c>
      <c r="D2" s="11">
        <v>12298.69</v>
      </c>
      <c r="E2" s="11">
        <v>12299.35</v>
      </c>
    </row>
    <row r="3" spans="1:11" x14ac:dyDescent="0.35">
      <c r="A3" s="2">
        <v>46055</v>
      </c>
      <c r="B3" s="8">
        <v>47.1</v>
      </c>
      <c r="C3" s="8">
        <v>421.69</v>
      </c>
      <c r="D3" s="11">
        <v>12269.7</v>
      </c>
      <c r="E3" s="11">
        <v>12270.36</v>
      </c>
      <c r="I3" s="9"/>
      <c r="J3" s="9"/>
      <c r="K3" s="9"/>
    </row>
    <row r="4" spans="1:11" x14ac:dyDescent="0.35">
      <c r="A4" s="2">
        <v>46056</v>
      </c>
      <c r="B4" s="8">
        <v>47.1</v>
      </c>
      <c r="C4" s="8">
        <v>421.16</v>
      </c>
      <c r="D4" s="11">
        <v>12258.89</v>
      </c>
      <c r="E4" s="11">
        <v>12259.56</v>
      </c>
      <c r="I4" s="9"/>
      <c r="J4" s="9"/>
      <c r="K4" s="9"/>
    </row>
    <row r="5" spans="1:11" x14ac:dyDescent="0.35">
      <c r="A5" s="2">
        <v>46057</v>
      </c>
      <c r="B5" s="8">
        <v>47.1</v>
      </c>
      <c r="C5" s="8">
        <v>418.32</v>
      </c>
      <c r="D5" s="11">
        <v>12200.61</v>
      </c>
      <c r="E5" s="11">
        <v>12201.27</v>
      </c>
      <c r="I5" s="9"/>
      <c r="J5" s="9"/>
      <c r="K5" s="9"/>
    </row>
    <row r="6" spans="1:11" x14ac:dyDescent="0.35">
      <c r="A6" s="2">
        <v>46058</v>
      </c>
      <c r="B6" s="8">
        <v>47.1</v>
      </c>
      <c r="C6" s="8">
        <v>416.67</v>
      </c>
      <c r="D6" s="11">
        <v>12166.77</v>
      </c>
      <c r="E6" s="11">
        <v>12167.43</v>
      </c>
      <c r="H6" s="8" t="s">
        <v>14</v>
      </c>
      <c r="I6" s="8" t="s">
        <v>15</v>
      </c>
      <c r="J6" s="9"/>
      <c r="K6" s="9"/>
    </row>
    <row r="7" spans="1:11" x14ac:dyDescent="0.35">
      <c r="A7" s="2">
        <v>46059</v>
      </c>
      <c r="B7" s="8">
        <v>47.1</v>
      </c>
      <c r="C7" s="8">
        <v>416.1</v>
      </c>
      <c r="D7" s="11">
        <v>12155.04</v>
      </c>
      <c r="E7" s="11">
        <v>12155.7</v>
      </c>
      <c r="G7" s="8" t="s">
        <v>16</v>
      </c>
      <c r="H7" s="8">
        <f>MIN(D2:D29)</f>
        <v>11858.26</v>
      </c>
      <c r="I7" s="8">
        <f>MIN(E2:E29)</f>
        <v>11858.91</v>
      </c>
    </row>
    <row r="8" spans="1:11" x14ac:dyDescent="0.35">
      <c r="A8" s="2">
        <v>46060</v>
      </c>
      <c r="B8" s="8">
        <v>47.1</v>
      </c>
      <c r="C8" s="8">
        <v>416.1</v>
      </c>
      <c r="D8" s="11">
        <v>12155.04</v>
      </c>
      <c r="E8" s="11">
        <v>12155.7</v>
      </c>
      <c r="G8" s="8" t="s">
        <v>17</v>
      </c>
      <c r="H8" s="8">
        <f>MAX(D2:D29)</f>
        <v>12298.69</v>
      </c>
      <c r="I8" s="8">
        <f>MAX(E2:E29)</f>
        <v>12299.35</v>
      </c>
    </row>
    <row r="9" spans="1:11" x14ac:dyDescent="0.35">
      <c r="A9" s="2">
        <v>46061</v>
      </c>
      <c r="B9" s="8">
        <v>47.1</v>
      </c>
      <c r="C9" s="8">
        <v>416.1</v>
      </c>
      <c r="D9" s="11">
        <v>12155.04</v>
      </c>
      <c r="E9" s="11">
        <v>12155.7</v>
      </c>
      <c r="G9" s="8" t="s">
        <v>18</v>
      </c>
      <c r="H9" s="8">
        <f>AVERAGE(D2:D29)</f>
        <v>12053.073214285716</v>
      </c>
      <c r="I9" s="8">
        <f>AVERAGE(E2:E29)</f>
        <v>12053.727857142852</v>
      </c>
    </row>
    <row r="10" spans="1:11" x14ac:dyDescent="0.35">
      <c r="A10" s="2">
        <v>46062</v>
      </c>
      <c r="B10" s="8">
        <v>47.1</v>
      </c>
      <c r="C10" s="8">
        <v>415.17</v>
      </c>
      <c r="D10" s="11">
        <v>12135.82</v>
      </c>
      <c r="E10" s="11">
        <v>12136.48</v>
      </c>
    </row>
    <row r="11" spans="1:11" x14ac:dyDescent="0.35">
      <c r="A11" s="2">
        <v>46063</v>
      </c>
      <c r="B11" s="8">
        <v>47.1</v>
      </c>
      <c r="C11" s="8">
        <v>414.27</v>
      </c>
      <c r="D11" s="11">
        <v>12117.48</v>
      </c>
      <c r="E11" s="11">
        <v>12118.13</v>
      </c>
    </row>
    <row r="12" spans="1:11" x14ac:dyDescent="0.35">
      <c r="A12" s="2">
        <v>46064</v>
      </c>
      <c r="B12" s="8">
        <v>47.1</v>
      </c>
      <c r="C12" s="8">
        <v>413.47</v>
      </c>
      <c r="D12" s="11">
        <v>12101</v>
      </c>
      <c r="E12" s="11">
        <v>12101.65</v>
      </c>
    </row>
    <row r="13" spans="1:11" x14ac:dyDescent="0.35">
      <c r="A13" s="2">
        <v>46065</v>
      </c>
      <c r="B13" s="8">
        <v>47.1</v>
      </c>
      <c r="C13" s="8">
        <v>412.04</v>
      </c>
      <c r="D13" s="11">
        <v>12071.71</v>
      </c>
      <c r="E13" s="11">
        <v>12072.36</v>
      </c>
    </row>
    <row r="14" spans="1:11" x14ac:dyDescent="0.35">
      <c r="A14" s="2">
        <v>46066</v>
      </c>
      <c r="B14" s="8">
        <v>47.1</v>
      </c>
      <c r="C14" s="8">
        <v>410.66</v>
      </c>
      <c r="D14" s="11">
        <v>12043.36</v>
      </c>
      <c r="E14" s="11">
        <v>12044.02</v>
      </c>
    </row>
    <row r="15" spans="1:11" x14ac:dyDescent="0.35">
      <c r="A15" s="2">
        <v>46067</v>
      </c>
      <c r="B15" s="8">
        <v>47.1</v>
      </c>
      <c r="C15" s="8">
        <v>410.66</v>
      </c>
      <c r="D15" s="11">
        <v>12043.36</v>
      </c>
      <c r="E15" s="11">
        <v>12044.02</v>
      </c>
    </row>
    <row r="16" spans="1:11" x14ac:dyDescent="0.35">
      <c r="A16" s="2">
        <v>46068</v>
      </c>
      <c r="B16" s="8">
        <v>47.1</v>
      </c>
      <c r="C16" s="8">
        <v>410.66</v>
      </c>
      <c r="D16" s="11">
        <v>12043.36</v>
      </c>
      <c r="E16" s="11">
        <v>12044.02</v>
      </c>
    </row>
    <row r="17" spans="1:5" x14ac:dyDescent="0.35">
      <c r="A17" s="2">
        <v>46069</v>
      </c>
      <c r="B17" s="8">
        <v>47.1</v>
      </c>
      <c r="C17" s="8">
        <v>410.18</v>
      </c>
      <c r="D17" s="11">
        <v>12033.57</v>
      </c>
      <c r="E17" s="11">
        <v>12034.22</v>
      </c>
    </row>
    <row r="18" spans="1:5" x14ac:dyDescent="0.35">
      <c r="A18" s="2">
        <v>46070</v>
      </c>
      <c r="B18" s="8">
        <v>47.1</v>
      </c>
      <c r="C18" s="8">
        <v>409.43</v>
      </c>
      <c r="D18" s="11">
        <v>12018.04</v>
      </c>
      <c r="E18" s="11">
        <v>12018.7</v>
      </c>
    </row>
    <row r="19" spans="1:5" x14ac:dyDescent="0.35">
      <c r="A19" s="2">
        <v>46071</v>
      </c>
      <c r="B19" s="8">
        <v>47.1</v>
      </c>
      <c r="C19" s="8">
        <v>408.23</v>
      </c>
      <c r="D19" s="11">
        <v>11993.47</v>
      </c>
      <c r="E19" s="11">
        <v>11994.12</v>
      </c>
    </row>
    <row r="20" spans="1:5" x14ac:dyDescent="0.35">
      <c r="A20" s="2">
        <v>46072</v>
      </c>
      <c r="B20" s="8">
        <v>47.1</v>
      </c>
      <c r="C20" s="8">
        <v>407.36</v>
      </c>
      <c r="D20" s="11">
        <v>11975.6</v>
      </c>
      <c r="E20" s="11">
        <v>11976.25</v>
      </c>
    </row>
    <row r="21" spans="1:5" x14ac:dyDescent="0.35">
      <c r="A21" s="2">
        <v>46073</v>
      </c>
      <c r="B21" s="8">
        <v>47.1</v>
      </c>
      <c r="C21" s="8">
        <v>406.47</v>
      </c>
      <c r="D21" s="11">
        <v>11957.43</v>
      </c>
      <c r="E21" s="11">
        <v>11958.08</v>
      </c>
    </row>
    <row r="22" spans="1:5" x14ac:dyDescent="0.35">
      <c r="A22" s="2">
        <v>46074</v>
      </c>
      <c r="B22" s="8">
        <v>47.1</v>
      </c>
      <c r="C22" s="8">
        <v>406.47</v>
      </c>
      <c r="D22" s="11">
        <v>11957.43</v>
      </c>
      <c r="E22" s="11">
        <v>11958.08</v>
      </c>
    </row>
    <row r="23" spans="1:5" x14ac:dyDescent="0.35">
      <c r="A23" s="2">
        <v>46075</v>
      </c>
      <c r="B23" s="8">
        <v>47.1</v>
      </c>
      <c r="C23" s="8">
        <v>406.47</v>
      </c>
      <c r="D23" s="11">
        <v>11957.43</v>
      </c>
      <c r="E23" s="11">
        <v>11958.08</v>
      </c>
    </row>
    <row r="24" spans="1:5" x14ac:dyDescent="0.35">
      <c r="A24" s="2">
        <v>46076</v>
      </c>
      <c r="B24" s="8">
        <v>47.1</v>
      </c>
      <c r="C24" s="8">
        <v>406.01</v>
      </c>
      <c r="D24" s="11">
        <v>11947.9</v>
      </c>
      <c r="E24" s="11">
        <v>11948.55</v>
      </c>
    </row>
    <row r="25" spans="1:5" x14ac:dyDescent="0.35">
      <c r="A25" s="2">
        <v>46077</v>
      </c>
      <c r="B25" s="8">
        <v>47.1</v>
      </c>
      <c r="C25" s="8">
        <v>405</v>
      </c>
      <c r="D25" s="11">
        <v>11927.14</v>
      </c>
      <c r="E25" s="11">
        <v>11927.79</v>
      </c>
    </row>
    <row r="26" spans="1:5" x14ac:dyDescent="0.35">
      <c r="A26" s="2">
        <v>46078</v>
      </c>
      <c r="B26" s="8">
        <v>47.1</v>
      </c>
      <c r="C26" s="8">
        <v>403.87</v>
      </c>
      <c r="D26" s="11">
        <v>11903.99</v>
      </c>
      <c r="E26" s="11">
        <v>11904.64</v>
      </c>
    </row>
    <row r="27" spans="1:5" x14ac:dyDescent="0.35">
      <c r="A27" s="2">
        <v>46079</v>
      </c>
      <c r="B27" s="8">
        <v>47.1</v>
      </c>
      <c r="C27" s="8">
        <v>402.78</v>
      </c>
      <c r="D27" s="11">
        <v>11881.66</v>
      </c>
      <c r="E27" s="11">
        <v>11882.3</v>
      </c>
    </row>
    <row r="28" spans="1:5" x14ac:dyDescent="0.35">
      <c r="A28" s="2">
        <v>46080</v>
      </c>
      <c r="B28" s="8">
        <v>47.1</v>
      </c>
      <c r="C28" s="8">
        <v>401.64</v>
      </c>
      <c r="D28" s="11">
        <v>11858.26</v>
      </c>
      <c r="E28" s="11">
        <v>11858.91</v>
      </c>
    </row>
    <row r="29" spans="1:5" x14ac:dyDescent="0.35">
      <c r="A29" s="2">
        <v>46081</v>
      </c>
      <c r="B29" s="8">
        <v>47.1</v>
      </c>
      <c r="C29" s="8">
        <v>401.64</v>
      </c>
      <c r="D29" s="11">
        <v>11858.26</v>
      </c>
      <c r="E29" s="11">
        <v>11858.91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8060-6EC4-4826-A579-12B984C492B4}">
  <dimension ref="A1:J29"/>
  <sheetViews>
    <sheetView workbookViewId="0">
      <selection activeCell="H6" sqref="H6:J9"/>
    </sheetView>
  </sheetViews>
  <sheetFormatPr defaultRowHeight="14.5" x14ac:dyDescent="0.35"/>
  <cols>
    <col min="1" max="1" width="17.81640625" style="3" bestFit="1" customWidth="1"/>
    <col min="2" max="2" width="10.08984375" bestFit="1" customWidth="1"/>
    <col min="3" max="3" width="17.453125" bestFit="1" customWidth="1"/>
    <col min="4" max="4" width="23.81640625" customWidth="1"/>
    <col min="5" max="5" width="25.36328125" bestFit="1" customWidth="1"/>
  </cols>
  <sheetData>
    <row r="1" spans="1:10" ht="29" x14ac:dyDescent="0.35">
      <c r="A1" s="2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10" x14ac:dyDescent="0.35">
      <c r="A2" s="2">
        <v>46054</v>
      </c>
      <c r="B2" s="8">
        <v>47.1</v>
      </c>
      <c r="C2" s="8">
        <v>417.83</v>
      </c>
      <c r="D2" s="10">
        <v>12269.34</v>
      </c>
      <c r="E2" s="10">
        <v>12270.03</v>
      </c>
    </row>
    <row r="3" spans="1:10" x14ac:dyDescent="0.35">
      <c r="A3" s="2">
        <v>46055</v>
      </c>
      <c r="B3" s="8">
        <v>47.1</v>
      </c>
      <c r="C3" s="8">
        <v>417.31</v>
      </c>
      <c r="D3" s="10">
        <v>12258.43</v>
      </c>
      <c r="E3" s="10">
        <v>12259.11</v>
      </c>
    </row>
    <row r="4" spans="1:10" x14ac:dyDescent="0.35">
      <c r="A4" s="2">
        <v>46056</v>
      </c>
      <c r="B4" s="8">
        <v>47.1</v>
      </c>
      <c r="C4" s="8">
        <v>414.47</v>
      </c>
      <c r="D4" s="10">
        <v>12199.57</v>
      </c>
      <c r="E4" s="10">
        <v>12200.25</v>
      </c>
    </row>
    <row r="5" spans="1:10" x14ac:dyDescent="0.35">
      <c r="A5" s="2">
        <v>46057</v>
      </c>
      <c r="B5" s="8">
        <v>47.1</v>
      </c>
      <c r="C5" s="8">
        <v>412.82</v>
      </c>
      <c r="D5" s="10">
        <v>12165.39</v>
      </c>
      <c r="E5" s="10">
        <v>12166.06</v>
      </c>
    </row>
    <row r="6" spans="1:10" x14ac:dyDescent="0.35">
      <c r="A6" s="2">
        <v>46058</v>
      </c>
      <c r="B6" s="8">
        <v>47.1</v>
      </c>
      <c r="C6" s="8">
        <v>412.25</v>
      </c>
      <c r="D6" s="10">
        <v>12153.55</v>
      </c>
      <c r="E6" s="10">
        <v>12154.22</v>
      </c>
      <c r="I6" s="8" t="s">
        <v>14</v>
      </c>
      <c r="J6" s="8" t="s">
        <v>15</v>
      </c>
    </row>
    <row r="7" spans="1:10" x14ac:dyDescent="0.35">
      <c r="A7" s="2">
        <v>46059</v>
      </c>
      <c r="B7" s="8">
        <v>47.1</v>
      </c>
      <c r="C7" s="8">
        <v>411.31</v>
      </c>
      <c r="D7" s="10">
        <v>12134.13</v>
      </c>
      <c r="E7" s="10">
        <v>12134.81</v>
      </c>
      <c r="H7" s="8" t="s">
        <v>16</v>
      </c>
      <c r="I7" s="8">
        <f>MIN(D2:D29)</f>
        <v>11839.71</v>
      </c>
      <c r="J7" s="8">
        <f>MIN(E2:E29)</f>
        <v>11840.36</v>
      </c>
    </row>
    <row r="8" spans="1:10" x14ac:dyDescent="0.35">
      <c r="A8" s="2">
        <v>46060</v>
      </c>
      <c r="B8" s="8">
        <v>47.1</v>
      </c>
      <c r="C8" s="8">
        <v>411.31</v>
      </c>
      <c r="D8" s="10">
        <v>12134.13</v>
      </c>
      <c r="E8" s="10">
        <v>12134.81</v>
      </c>
      <c r="H8" s="8" t="s">
        <v>17</v>
      </c>
      <c r="I8" s="8">
        <f>MAX(D2:D29)</f>
        <v>12269.34</v>
      </c>
      <c r="J8" s="8">
        <f>MAX(E2:E29)</f>
        <v>12270.03</v>
      </c>
    </row>
    <row r="9" spans="1:10" x14ac:dyDescent="0.35">
      <c r="A9" s="2">
        <v>46061</v>
      </c>
      <c r="B9" s="8">
        <v>47.1</v>
      </c>
      <c r="C9" s="8">
        <v>411.31</v>
      </c>
      <c r="D9" s="10">
        <v>12134.13</v>
      </c>
      <c r="E9" s="10">
        <v>12134.81</v>
      </c>
      <c r="H9" s="8" t="s">
        <v>18</v>
      </c>
      <c r="I9" s="8">
        <f>AVERAGE(D2:D29)</f>
        <v>12030.887142857144</v>
      </c>
      <c r="J9" s="8">
        <f>AVERAGE(E2:E29)</f>
        <v>12031.556071428569</v>
      </c>
    </row>
    <row r="10" spans="1:10" x14ac:dyDescent="0.35">
      <c r="A10" s="2">
        <v>46062</v>
      </c>
      <c r="B10" s="8">
        <v>47.1</v>
      </c>
      <c r="C10" s="8">
        <v>410.42</v>
      </c>
      <c r="D10" s="10">
        <v>12115.61</v>
      </c>
      <c r="E10" s="10">
        <v>12116.28</v>
      </c>
    </row>
    <row r="11" spans="1:10" x14ac:dyDescent="0.35">
      <c r="A11" s="2">
        <v>46063</v>
      </c>
      <c r="B11" s="8">
        <v>47.1</v>
      </c>
      <c r="C11" s="8">
        <v>409.61</v>
      </c>
      <c r="D11" s="10">
        <v>12098.96</v>
      </c>
      <c r="E11" s="10">
        <v>12099.63</v>
      </c>
    </row>
    <row r="12" spans="1:10" x14ac:dyDescent="0.35">
      <c r="A12" s="2">
        <v>46064</v>
      </c>
      <c r="B12" s="8">
        <v>47.1</v>
      </c>
      <c r="C12" s="8">
        <v>408.19</v>
      </c>
      <c r="D12" s="10">
        <v>12069.38</v>
      </c>
      <c r="E12" s="10">
        <v>12070.05</v>
      </c>
    </row>
    <row r="13" spans="1:10" x14ac:dyDescent="0.35">
      <c r="A13" s="2">
        <v>46065</v>
      </c>
      <c r="B13" s="8">
        <v>47.1</v>
      </c>
      <c r="C13" s="8">
        <v>406.8</v>
      </c>
      <c r="D13" s="10">
        <v>12040.76</v>
      </c>
      <c r="E13" s="10">
        <v>12041.42</v>
      </c>
    </row>
    <row r="14" spans="1:10" x14ac:dyDescent="0.35">
      <c r="A14" s="2">
        <v>46066</v>
      </c>
      <c r="B14" s="8">
        <v>47.1</v>
      </c>
      <c r="C14" s="8">
        <v>406.33</v>
      </c>
      <c r="D14" s="10">
        <v>12030.86</v>
      </c>
      <c r="E14" s="10">
        <v>12031.53</v>
      </c>
    </row>
    <row r="15" spans="1:10" x14ac:dyDescent="0.35">
      <c r="A15" s="2">
        <v>46067</v>
      </c>
      <c r="B15" s="8">
        <v>47.1</v>
      </c>
      <c r="C15" s="8">
        <v>406.33</v>
      </c>
      <c r="D15" s="10">
        <v>12030.86</v>
      </c>
      <c r="E15" s="10">
        <v>12031.53</v>
      </c>
    </row>
    <row r="16" spans="1:10" x14ac:dyDescent="0.35">
      <c r="A16" s="2">
        <v>46068</v>
      </c>
      <c r="B16" s="8">
        <v>47.1</v>
      </c>
      <c r="C16" s="8">
        <v>406.33</v>
      </c>
      <c r="D16" s="10">
        <v>12030.86</v>
      </c>
      <c r="E16" s="10">
        <v>12031.53</v>
      </c>
    </row>
    <row r="17" spans="1:5" x14ac:dyDescent="0.35">
      <c r="A17" s="2">
        <v>46069</v>
      </c>
      <c r="B17" s="8">
        <v>47.1</v>
      </c>
      <c r="C17" s="8">
        <v>405.57</v>
      </c>
      <c r="D17" s="10">
        <v>12015.18</v>
      </c>
      <c r="E17" s="10">
        <v>12015.85</v>
      </c>
    </row>
    <row r="18" spans="1:5" x14ac:dyDescent="0.35">
      <c r="A18" s="2">
        <v>46070</v>
      </c>
      <c r="B18" s="8">
        <v>47.1</v>
      </c>
      <c r="C18" s="8">
        <v>404.37</v>
      </c>
      <c r="D18" s="10">
        <v>11990.36</v>
      </c>
      <c r="E18" s="10">
        <v>11991.03</v>
      </c>
    </row>
    <row r="19" spans="1:5" x14ac:dyDescent="0.35">
      <c r="A19" s="2">
        <v>46071</v>
      </c>
      <c r="B19" s="8">
        <v>47.1</v>
      </c>
      <c r="C19" s="8">
        <v>403.5</v>
      </c>
      <c r="D19" s="10">
        <v>11972.31</v>
      </c>
      <c r="E19" s="10">
        <v>11972.98</v>
      </c>
    </row>
    <row r="20" spans="1:5" x14ac:dyDescent="0.35">
      <c r="A20" s="2">
        <v>46072</v>
      </c>
      <c r="B20" s="8">
        <v>47.1</v>
      </c>
      <c r="C20" s="8">
        <v>402.62</v>
      </c>
      <c r="D20" s="10">
        <v>11953.97</v>
      </c>
      <c r="E20" s="10">
        <v>11954.63</v>
      </c>
    </row>
    <row r="21" spans="1:5" x14ac:dyDescent="0.35">
      <c r="A21" s="2">
        <v>46073</v>
      </c>
      <c r="B21" s="8">
        <v>47.1</v>
      </c>
      <c r="C21" s="8">
        <v>402.15</v>
      </c>
      <c r="D21" s="10">
        <v>11944.34</v>
      </c>
      <c r="E21" s="10">
        <v>11945.01</v>
      </c>
    </row>
    <row r="22" spans="1:5" x14ac:dyDescent="0.35">
      <c r="A22" s="2">
        <v>46074</v>
      </c>
      <c r="B22" s="8">
        <v>47.1</v>
      </c>
      <c r="C22" s="8">
        <v>402.15</v>
      </c>
      <c r="D22" s="10">
        <v>11944.34</v>
      </c>
      <c r="E22" s="10">
        <v>11945.01</v>
      </c>
    </row>
    <row r="23" spans="1:5" x14ac:dyDescent="0.35">
      <c r="A23" s="2">
        <v>46075</v>
      </c>
      <c r="B23" s="8">
        <v>47.1</v>
      </c>
      <c r="C23" s="8">
        <v>402.15</v>
      </c>
      <c r="D23" s="10">
        <v>11944.34</v>
      </c>
      <c r="E23" s="10">
        <v>11945.01</v>
      </c>
    </row>
    <row r="24" spans="1:5" x14ac:dyDescent="0.35">
      <c r="A24" s="2">
        <v>46076</v>
      </c>
      <c r="B24" s="8">
        <v>47.1</v>
      </c>
      <c r="C24" s="8">
        <v>401.14</v>
      </c>
      <c r="D24" s="10">
        <v>11923.38</v>
      </c>
      <c r="E24" s="10">
        <v>11924.04</v>
      </c>
    </row>
    <row r="25" spans="1:5" x14ac:dyDescent="0.35">
      <c r="A25" s="2">
        <v>46077</v>
      </c>
      <c r="B25" s="8">
        <v>47.1</v>
      </c>
      <c r="C25" s="8">
        <v>400.01</v>
      </c>
      <c r="D25" s="10">
        <v>11899.99</v>
      </c>
      <c r="E25" s="10">
        <v>11900.65</v>
      </c>
    </row>
    <row r="26" spans="1:5" x14ac:dyDescent="0.35">
      <c r="A26" s="2">
        <v>46078</v>
      </c>
      <c r="B26" s="8">
        <v>47.1</v>
      </c>
      <c r="C26" s="8">
        <v>398.92</v>
      </c>
      <c r="D26" s="10">
        <v>11877.44</v>
      </c>
      <c r="E26" s="10">
        <v>11878.1</v>
      </c>
    </row>
    <row r="27" spans="1:5" x14ac:dyDescent="0.35">
      <c r="A27" s="2">
        <v>46079</v>
      </c>
      <c r="B27" s="8">
        <v>47.1</v>
      </c>
      <c r="C27" s="8">
        <v>397.78</v>
      </c>
      <c r="D27" s="10">
        <v>11853.81</v>
      </c>
      <c r="E27" s="10">
        <v>11854.47</v>
      </c>
    </row>
    <row r="28" spans="1:5" x14ac:dyDescent="0.35">
      <c r="A28" s="2">
        <v>46080</v>
      </c>
      <c r="B28" s="8">
        <v>47.1</v>
      </c>
      <c r="C28" s="8">
        <v>397.1</v>
      </c>
      <c r="D28" s="10">
        <v>11839.71</v>
      </c>
      <c r="E28" s="10">
        <v>11840.36</v>
      </c>
    </row>
    <row r="29" spans="1:5" x14ac:dyDescent="0.35">
      <c r="A29" s="2">
        <v>46081</v>
      </c>
      <c r="B29" s="8">
        <v>47.1</v>
      </c>
      <c r="C29" s="8">
        <v>397.1</v>
      </c>
      <c r="D29" s="10">
        <v>11839.71</v>
      </c>
      <c r="E29" s="10">
        <v>11840.36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6D0D-06FE-4072-A1EC-F4C148EB740E}">
  <dimension ref="A1:I29"/>
  <sheetViews>
    <sheetView workbookViewId="0">
      <selection activeCell="G8" sqref="G8:I11"/>
    </sheetView>
  </sheetViews>
  <sheetFormatPr defaultRowHeight="14.5" x14ac:dyDescent="0.35"/>
  <cols>
    <col min="1" max="1" width="17.81640625" style="3" bestFit="1" customWidth="1"/>
    <col min="2" max="2" width="10.08984375" bestFit="1" customWidth="1"/>
    <col min="3" max="3" width="17.81640625" bestFit="1" customWidth="1"/>
    <col min="4" max="4" width="26.08984375" bestFit="1" customWidth="1"/>
    <col min="5" max="5" width="25.7265625" bestFit="1" customWidth="1"/>
  </cols>
  <sheetData>
    <row r="1" spans="1:9" x14ac:dyDescent="0.35">
      <c r="A1" s="2" t="s">
        <v>0</v>
      </c>
      <c r="B1" s="1" t="s">
        <v>1</v>
      </c>
      <c r="C1" s="1" t="s">
        <v>5</v>
      </c>
      <c r="D1" s="5" t="s">
        <v>6</v>
      </c>
      <c r="E1" s="5" t="s">
        <v>7</v>
      </c>
    </row>
    <row r="2" spans="1:9" x14ac:dyDescent="0.35">
      <c r="A2" s="2">
        <v>46054</v>
      </c>
      <c r="B2" s="8">
        <v>47.1</v>
      </c>
      <c r="C2" s="8">
        <v>426.96</v>
      </c>
      <c r="D2" s="10">
        <v>12314.57</v>
      </c>
      <c r="E2" s="10">
        <v>12315.22</v>
      </c>
    </row>
    <row r="3" spans="1:9" x14ac:dyDescent="0.35">
      <c r="A3" s="2">
        <v>46055</v>
      </c>
      <c r="B3" s="8">
        <v>47.1</v>
      </c>
      <c r="C3" s="8">
        <v>425.55</v>
      </c>
      <c r="D3" s="10">
        <v>12285.8</v>
      </c>
      <c r="E3" s="10">
        <v>12286.46</v>
      </c>
    </row>
    <row r="4" spans="1:9" x14ac:dyDescent="0.35">
      <c r="A4" s="2">
        <v>46056</v>
      </c>
      <c r="B4" s="8">
        <v>47.1</v>
      </c>
      <c r="C4" s="8">
        <v>425.02</v>
      </c>
      <c r="D4" s="10">
        <v>12275.08</v>
      </c>
      <c r="E4" s="10">
        <v>12275.74</v>
      </c>
    </row>
    <row r="5" spans="1:9" x14ac:dyDescent="0.35">
      <c r="A5" s="2">
        <v>46057</v>
      </c>
      <c r="B5" s="8">
        <v>47.1</v>
      </c>
      <c r="C5" s="8">
        <v>422.18</v>
      </c>
      <c r="D5" s="10">
        <v>12217.26</v>
      </c>
      <c r="E5" s="10">
        <v>12217.91</v>
      </c>
    </row>
    <row r="6" spans="1:9" x14ac:dyDescent="0.35">
      <c r="A6" s="2">
        <v>46058</v>
      </c>
      <c r="B6" s="8">
        <v>47.1</v>
      </c>
      <c r="C6" s="8">
        <v>420.53</v>
      </c>
      <c r="D6" s="10">
        <v>12183.68</v>
      </c>
      <c r="E6" s="10">
        <v>12184.33</v>
      </c>
    </row>
    <row r="7" spans="1:9" x14ac:dyDescent="0.35">
      <c r="A7" s="2">
        <v>46059</v>
      </c>
      <c r="B7" s="8">
        <v>47.1</v>
      </c>
      <c r="C7" s="8">
        <v>419.96</v>
      </c>
      <c r="D7" s="10">
        <v>12172.05</v>
      </c>
      <c r="E7" s="10">
        <v>12172.7</v>
      </c>
    </row>
    <row r="8" spans="1:9" x14ac:dyDescent="0.35">
      <c r="A8" s="2">
        <v>46060</v>
      </c>
      <c r="B8" s="8">
        <v>47.1</v>
      </c>
      <c r="C8" s="8">
        <v>419.96</v>
      </c>
      <c r="D8" s="10">
        <v>12172.05</v>
      </c>
      <c r="E8" s="10">
        <v>12172.7</v>
      </c>
      <c r="H8" s="8" t="s">
        <v>14</v>
      </c>
      <c r="I8" s="8" t="s">
        <v>15</v>
      </c>
    </row>
    <row r="9" spans="1:9" x14ac:dyDescent="0.35">
      <c r="A9" s="2">
        <v>46061</v>
      </c>
      <c r="B9" s="8">
        <v>47.1</v>
      </c>
      <c r="C9" s="8">
        <v>419.96</v>
      </c>
      <c r="D9" s="10">
        <v>12172.05</v>
      </c>
      <c r="E9" s="10">
        <v>12172.7</v>
      </c>
      <c r="G9" s="8" t="s">
        <v>16</v>
      </c>
      <c r="H9" s="8">
        <f>MIN(D2:D31)</f>
        <v>11877.59</v>
      </c>
      <c r="I9" s="8">
        <f>MIN(D2:D31)</f>
        <v>11877.59</v>
      </c>
    </row>
    <row r="10" spans="1:9" x14ac:dyDescent="0.35">
      <c r="A10" s="2">
        <v>46062</v>
      </c>
      <c r="B10" s="8">
        <v>47.1</v>
      </c>
      <c r="C10" s="8">
        <v>419.02</v>
      </c>
      <c r="D10" s="10">
        <v>12152.97</v>
      </c>
      <c r="E10" s="10">
        <v>12153.62</v>
      </c>
      <c r="G10" s="8" t="s">
        <v>17</v>
      </c>
      <c r="H10" s="8">
        <f>MAX(D2:D31)</f>
        <v>12314.57</v>
      </c>
      <c r="I10" s="8">
        <f>MAX(E2:E31)</f>
        <v>12315.22</v>
      </c>
    </row>
    <row r="11" spans="1:9" x14ac:dyDescent="0.35">
      <c r="A11" s="2">
        <v>46063</v>
      </c>
      <c r="B11" s="8">
        <v>47.1</v>
      </c>
      <c r="C11" s="8">
        <v>418.13</v>
      </c>
      <c r="D11" s="10">
        <v>12134.78</v>
      </c>
      <c r="E11" s="10">
        <v>12135.42</v>
      </c>
      <c r="G11" s="8" t="s">
        <v>18</v>
      </c>
      <c r="H11" s="8">
        <f>AVERAGE(D2:D31)</f>
        <v>12070.87678571429</v>
      </c>
      <c r="I11" s="8">
        <f>AVERAGE(E2:E31)</f>
        <v>12071.520714285713</v>
      </c>
    </row>
    <row r="12" spans="1:9" x14ac:dyDescent="0.35">
      <c r="A12" s="2">
        <v>46064</v>
      </c>
      <c r="B12" s="8">
        <v>47.1</v>
      </c>
      <c r="C12" s="8">
        <v>417.33</v>
      </c>
      <c r="D12" s="10">
        <v>12118.42</v>
      </c>
      <c r="E12" s="10">
        <v>12119.07</v>
      </c>
    </row>
    <row r="13" spans="1:9" x14ac:dyDescent="0.35">
      <c r="A13" s="2">
        <v>46065</v>
      </c>
      <c r="B13" s="8">
        <v>47.1</v>
      </c>
      <c r="C13" s="8">
        <v>415.9</v>
      </c>
      <c r="D13" s="10">
        <v>12089.37</v>
      </c>
      <c r="E13" s="10">
        <v>12090.01</v>
      </c>
    </row>
    <row r="14" spans="1:9" x14ac:dyDescent="0.35">
      <c r="A14" s="2">
        <v>46066</v>
      </c>
      <c r="B14" s="8">
        <v>47.1</v>
      </c>
      <c r="C14" s="8">
        <v>414.52</v>
      </c>
      <c r="D14" s="10">
        <v>12061.24</v>
      </c>
      <c r="E14" s="10">
        <v>12061.88</v>
      </c>
    </row>
    <row r="15" spans="1:9" x14ac:dyDescent="0.35">
      <c r="A15" s="2">
        <v>46067</v>
      </c>
      <c r="B15" s="8">
        <v>47.1</v>
      </c>
      <c r="C15" s="8">
        <v>414.52</v>
      </c>
      <c r="D15" s="10">
        <v>12061.24</v>
      </c>
      <c r="E15" s="10">
        <v>12061.88</v>
      </c>
    </row>
    <row r="16" spans="1:9" x14ac:dyDescent="0.35">
      <c r="A16" s="2">
        <v>46068</v>
      </c>
      <c r="B16" s="8">
        <v>47.1</v>
      </c>
      <c r="C16" s="8">
        <v>414.52</v>
      </c>
      <c r="D16" s="10">
        <v>12061.24</v>
      </c>
      <c r="E16" s="10">
        <v>12061.88</v>
      </c>
    </row>
    <row r="17" spans="1:5" x14ac:dyDescent="0.35">
      <c r="A17" s="2">
        <v>46069</v>
      </c>
      <c r="B17" s="8">
        <v>47.1</v>
      </c>
      <c r="C17" s="8">
        <v>414.04</v>
      </c>
      <c r="D17" s="10">
        <v>12051.53</v>
      </c>
      <c r="E17" s="10">
        <v>12052.17</v>
      </c>
    </row>
    <row r="18" spans="1:5" x14ac:dyDescent="0.35">
      <c r="A18" s="2">
        <v>46070</v>
      </c>
      <c r="B18" s="8">
        <v>47.1</v>
      </c>
      <c r="C18" s="8">
        <v>413.28</v>
      </c>
      <c r="D18" s="10">
        <v>12036.12</v>
      </c>
      <c r="E18" s="10">
        <v>12036.76</v>
      </c>
    </row>
    <row r="19" spans="1:5" x14ac:dyDescent="0.35">
      <c r="A19" s="2">
        <v>46071</v>
      </c>
      <c r="B19" s="8">
        <v>47.1</v>
      </c>
      <c r="C19" s="8">
        <v>412.09</v>
      </c>
      <c r="D19" s="10">
        <v>12011.74</v>
      </c>
      <c r="E19" s="10">
        <v>12012.38</v>
      </c>
    </row>
    <row r="20" spans="1:5" x14ac:dyDescent="0.35">
      <c r="A20" s="2">
        <v>46072</v>
      </c>
      <c r="B20" s="8">
        <v>47.1</v>
      </c>
      <c r="C20" s="8">
        <v>411.22</v>
      </c>
      <c r="D20" s="10">
        <v>11994.01</v>
      </c>
      <c r="E20" s="10">
        <v>11994.65</v>
      </c>
    </row>
    <row r="21" spans="1:5" x14ac:dyDescent="0.35">
      <c r="A21" s="2">
        <v>46073</v>
      </c>
      <c r="B21" s="8">
        <v>47.1</v>
      </c>
      <c r="C21" s="8">
        <v>410.33</v>
      </c>
      <c r="D21" s="10">
        <v>11975.98</v>
      </c>
      <c r="E21" s="10">
        <v>11976.62</v>
      </c>
    </row>
    <row r="22" spans="1:5" x14ac:dyDescent="0.35">
      <c r="A22" s="2">
        <v>46074</v>
      </c>
      <c r="B22" s="8">
        <v>47.1</v>
      </c>
      <c r="C22" s="8">
        <v>410.33</v>
      </c>
      <c r="D22" s="10">
        <v>11975.98</v>
      </c>
      <c r="E22" s="10">
        <v>11976.62</v>
      </c>
    </row>
    <row r="23" spans="1:5" x14ac:dyDescent="0.35">
      <c r="A23" s="2">
        <v>46075</v>
      </c>
      <c r="B23" s="8">
        <v>47.1</v>
      </c>
      <c r="C23" s="8">
        <v>410.33</v>
      </c>
      <c r="D23" s="10">
        <v>11975.98</v>
      </c>
      <c r="E23" s="10">
        <v>11976.62</v>
      </c>
    </row>
    <row r="24" spans="1:5" x14ac:dyDescent="0.35">
      <c r="A24" s="2">
        <v>46076</v>
      </c>
      <c r="B24" s="8">
        <v>47.1</v>
      </c>
      <c r="C24" s="8">
        <v>409.87</v>
      </c>
      <c r="D24" s="10">
        <v>11966.53</v>
      </c>
      <c r="E24" s="10">
        <v>11967.17</v>
      </c>
    </row>
    <row r="25" spans="1:5" x14ac:dyDescent="0.35">
      <c r="A25" s="2">
        <v>46077</v>
      </c>
      <c r="B25" s="8">
        <v>47.1</v>
      </c>
      <c r="C25" s="8">
        <v>408.85</v>
      </c>
      <c r="D25" s="10">
        <v>11945.93</v>
      </c>
      <c r="E25" s="10">
        <v>11946.57</v>
      </c>
    </row>
    <row r="26" spans="1:5" x14ac:dyDescent="0.35">
      <c r="A26" s="2">
        <v>46078</v>
      </c>
      <c r="B26" s="8">
        <v>47.1</v>
      </c>
      <c r="C26" s="8">
        <v>407.73</v>
      </c>
      <c r="D26" s="10">
        <v>11922.96</v>
      </c>
      <c r="E26" s="10">
        <v>11923.6</v>
      </c>
    </row>
    <row r="27" spans="1:5" x14ac:dyDescent="0.35">
      <c r="A27" s="2">
        <v>46079</v>
      </c>
      <c r="B27" s="8">
        <v>47.1</v>
      </c>
      <c r="C27" s="8">
        <v>406.64</v>
      </c>
      <c r="D27" s="10">
        <v>11900.81</v>
      </c>
      <c r="E27" s="10">
        <v>11901.44</v>
      </c>
    </row>
    <row r="28" spans="1:5" x14ac:dyDescent="0.35">
      <c r="A28" s="2">
        <v>46080</v>
      </c>
      <c r="B28" s="8">
        <v>47.1</v>
      </c>
      <c r="C28" s="8">
        <v>405.5</v>
      </c>
      <c r="D28" s="10">
        <v>11877.59</v>
      </c>
      <c r="E28" s="10">
        <v>11878.23</v>
      </c>
    </row>
    <row r="29" spans="1:5" x14ac:dyDescent="0.35">
      <c r="A29" s="2">
        <v>46081</v>
      </c>
      <c r="B29" s="8">
        <v>47.1</v>
      </c>
      <c r="C29" s="8">
        <v>405.5</v>
      </c>
      <c r="D29" s="10">
        <v>11877.59</v>
      </c>
      <c r="E29" s="10">
        <v>11878.23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906B-C02F-4980-9C03-E988C0117402}">
  <dimension ref="A1:J29"/>
  <sheetViews>
    <sheetView workbookViewId="0">
      <selection activeCell="K13" sqref="K13"/>
    </sheetView>
  </sheetViews>
  <sheetFormatPr defaultRowHeight="14.5" x14ac:dyDescent="0.35"/>
  <cols>
    <col min="1" max="1" width="17.81640625" style="3" bestFit="1" customWidth="1"/>
    <col min="2" max="2" width="10.08984375" bestFit="1" customWidth="1"/>
    <col min="3" max="3" width="18.54296875" bestFit="1" customWidth="1"/>
    <col min="4" max="4" width="26.81640625" bestFit="1" customWidth="1"/>
    <col min="5" max="5" width="26.453125" bestFit="1" customWidth="1"/>
  </cols>
  <sheetData>
    <row r="1" spans="1:10" x14ac:dyDescent="0.35">
      <c r="A1" s="2" t="s">
        <v>0</v>
      </c>
      <c r="B1" s="1" t="s">
        <v>1</v>
      </c>
      <c r="C1" s="1" t="s">
        <v>11</v>
      </c>
      <c r="D1" s="7" t="s">
        <v>12</v>
      </c>
      <c r="E1" s="7" t="s">
        <v>13</v>
      </c>
    </row>
    <row r="2" spans="1:10" x14ac:dyDescent="0.35">
      <c r="A2" s="2">
        <v>46054</v>
      </c>
      <c r="B2" s="8">
        <v>47.1</v>
      </c>
      <c r="C2" s="8">
        <v>421.69</v>
      </c>
      <c r="D2" s="10">
        <v>12285.26</v>
      </c>
      <c r="E2" s="10">
        <v>12285.92</v>
      </c>
    </row>
    <row r="3" spans="1:10" x14ac:dyDescent="0.35">
      <c r="A3" s="2">
        <v>46055</v>
      </c>
      <c r="B3" s="8">
        <v>47.1</v>
      </c>
      <c r="C3" s="8">
        <v>421.16</v>
      </c>
      <c r="D3" s="10">
        <v>12274.43</v>
      </c>
      <c r="E3" s="10">
        <v>12275.1</v>
      </c>
    </row>
    <row r="4" spans="1:10" x14ac:dyDescent="0.35">
      <c r="A4" s="2">
        <v>46056</v>
      </c>
      <c r="B4" s="8">
        <v>47.1</v>
      </c>
      <c r="C4" s="8">
        <v>418.32</v>
      </c>
      <c r="D4" s="10">
        <v>12216.03</v>
      </c>
      <c r="E4" s="10">
        <v>12216.7</v>
      </c>
    </row>
    <row r="5" spans="1:10" x14ac:dyDescent="0.35">
      <c r="A5" s="2">
        <v>46057</v>
      </c>
      <c r="B5" s="8">
        <v>47.1</v>
      </c>
      <c r="C5" s="8">
        <v>416.67</v>
      </c>
      <c r="D5" s="10">
        <v>12182.12</v>
      </c>
      <c r="E5" s="10">
        <v>12182.79</v>
      </c>
    </row>
    <row r="6" spans="1:10" x14ac:dyDescent="0.35">
      <c r="A6" s="2">
        <v>46058</v>
      </c>
      <c r="B6" s="8">
        <v>47.1</v>
      </c>
      <c r="C6" s="8">
        <v>416.1</v>
      </c>
      <c r="D6" s="10">
        <v>12170.38</v>
      </c>
      <c r="E6" s="10">
        <v>12171.04</v>
      </c>
    </row>
    <row r="7" spans="1:10" x14ac:dyDescent="0.35">
      <c r="A7" s="2">
        <v>46059</v>
      </c>
      <c r="B7" s="8">
        <v>47.1</v>
      </c>
      <c r="C7" s="8">
        <v>415.17</v>
      </c>
      <c r="D7" s="10">
        <v>12151.12</v>
      </c>
      <c r="E7" s="10">
        <v>12151.78</v>
      </c>
      <c r="I7" s="8" t="s">
        <v>14</v>
      </c>
      <c r="J7" s="8" t="s">
        <v>15</v>
      </c>
    </row>
    <row r="8" spans="1:10" x14ac:dyDescent="0.35">
      <c r="A8" s="2">
        <v>46060</v>
      </c>
      <c r="B8" s="8">
        <v>47.1</v>
      </c>
      <c r="C8" s="8">
        <v>415.17</v>
      </c>
      <c r="D8" s="10">
        <v>12151.12</v>
      </c>
      <c r="E8" s="10">
        <v>12151.78</v>
      </c>
      <c r="H8" s="8" t="s">
        <v>16</v>
      </c>
      <c r="I8" s="8">
        <f>MIN(D2:D30)</f>
        <v>11859.03</v>
      </c>
      <c r="J8" s="8">
        <f>MIN(E1:E30)</f>
        <v>11859.67</v>
      </c>
    </row>
    <row r="9" spans="1:10" x14ac:dyDescent="0.35">
      <c r="A9" s="2">
        <v>46061</v>
      </c>
      <c r="B9" s="8">
        <v>47.1</v>
      </c>
      <c r="C9" s="8">
        <v>415.17</v>
      </c>
      <c r="D9" s="10">
        <v>12151.12</v>
      </c>
      <c r="E9" s="10">
        <v>12151.78</v>
      </c>
      <c r="H9" s="8" t="s">
        <v>17</v>
      </c>
      <c r="I9" s="8">
        <f>MAX(D2:D30)</f>
        <v>12285.26</v>
      </c>
      <c r="J9" s="8">
        <f>MAX(E2:E30)</f>
        <v>12285.92</v>
      </c>
    </row>
    <row r="10" spans="1:10" x14ac:dyDescent="0.35">
      <c r="A10" s="2">
        <v>46062</v>
      </c>
      <c r="B10" s="8">
        <v>47.1</v>
      </c>
      <c r="C10" s="8">
        <v>414.27</v>
      </c>
      <c r="D10" s="10">
        <v>12132.74</v>
      </c>
      <c r="E10" s="10">
        <v>12133.4</v>
      </c>
      <c r="H10" s="8" t="s">
        <v>18</v>
      </c>
      <c r="I10" s="8">
        <f>AVERAGE(D1:D30)</f>
        <v>12048.693571428576</v>
      </c>
      <c r="J10" s="8">
        <f>AVERAGE(E1:E30)</f>
        <v>12049.348928571426</v>
      </c>
    </row>
    <row r="11" spans="1:10" x14ac:dyDescent="0.35">
      <c r="A11" s="2">
        <v>46063</v>
      </c>
      <c r="B11" s="8">
        <v>47.1</v>
      </c>
      <c r="C11" s="8">
        <v>413.47</v>
      </c>
      <c r="D11" s="10">
        <v>12116.23</v>
      </c>
      <c r="E11" s="10">
        <v>12116.89</v>
      </c>
    </row>
    <row r="12" spans="1:10" x14ac:dyDescent="0.35">
      <c r="A12" s="2">
        <v>46064</v>
      </c>
      <c r="B12" s="8">
        <v>47.1</v>
      </c>
      <c r="C12" s="8">
        <v>412.04</v>
      </c>
      <c r="D12" s="10">
        <v>12086.88</v>
      </c>
      <c r="E12" s="10">
        <v>12087.54</v>
      </c>
    </row>
    <row r="13" spans="1:10" x14ac:dyDescent="0.35">
      <c r="A13" s="2">
        <v>46065</v>
      </c>
      <c r="B13" s="8">
        <v>47.1</v>
      </c>
      <c r="C13" s="8">
        <v>410.66</v>
      </c>
      <c r="D13" s="10">
        <v>12058.48</v>
      </c>
      <c r="E13" s="10">
        <v>12059.14</v>
      </c>
    </row>
    <row r="14" spans="1:10" x14ac:dyDescent="0.35">
      <c r="A14" s="2">
        <v>46066</v>
      </c>
      <c r="B14" s="8">
        <v>47.1</v>
      </c>
      <c r="C14" s="8">
        <v>410.18</v>
      </c>
      <c r="D14" s="10">
        <v>12048.67</v>
      </c>
      <c r="E14" s="10">
        <v>12049.32</v>
      </c>
    </row>
    <row r="15" spans="1:10" x14ac:dyDescent="0.35">
      <c r="A15" s="2">
        <v>46067</v>
      </c>
      <c r="B15" s="8">
        <v>47.1</v>
      </c>
      <c r="C15" s="8">
        <v>410.18</v>
      </c>
      <c r="D15" s="10">
        <v>12048.67</v>
      </c>
      <c r="E15" s="10">
        <v>12049.32</v>
      </c>
    </row>
    <row r="16" spans="1:10" x14ac:dyDescent="0.35">
      <c r="A16" s="2">
        <v>46068</v>
      </c>
      <c r="B16" s="8">
        <v>47.1</v>
      </c>
      <c r="C16" s="8">
        <v>410.18</v>
      </c>
      <c r="D16" s="10">
        <v>12048.67</v>
      </c>
      <c r="E16" s="10">
        <v>12049.32</v>
      </c>
    </row>
    <row r="17" spans="1:5" x14ac:dyDescent="0.35">
      <c r="A17" s="2">
        <v>46069</v>
      </c>
      <c r="B17" s="8">
        <v>47.1</v>
      </c>
      <c r="C17" s="8">
        <v>409.43</v>
      </c>
      <c r="D17" s="10">
        <v>12033.11</v>
      </c>
      <c r="E17" s="10">
        <v>12033.77</v>
      </c>
    </row>
    <row r="18" spans="1:5" x14ac:dyDescent="0.35">
      <c r="A18" s="2">
        <v>46070</v>
      </c>
      <c r="B18" s="8">
        <v>47.1</v>
      </c>
      <c r="C18" s="8">
        <v>408.23</v>
      </c>
      <c r="D18" s="10">
        <v>12008.49</v>
      </c>
      <c r="E18" s="10">
        <v>12009.14</v>
      </c>
    </row>
    <row r="19" spans="1:5" x14ac:dyDescent="0.35">
      <c r="A19" s="2">
        <v>46071</v>
      </c>
      <c r="B19" s="8">
        <v>47.1</v>
      </c>
      <c r="C19" s="8">
        <v>407.36</v>
      </c>
      <c r="D19" s="10">
        <v>11990.58</v>
      </c>
      <c r="E19" s="10">
        <v>11991.24</v>
      </c>
    </row>
    <row r="20" spans="1:5" x14ac:dyDescent="0.35">
      <c r="A20" s="2">
        <v>46072</v>
      </c>
      <c r="B20" s="8">
        <v>47.1</v>
      </c>
      <c r="C20" s="8">
        <v>406.47</v>
      </c>
      <c r="D20" s="10">
        <v>11972.38</v>
      </c>
      <c r="E20" s="10">
        <v>11973.03</v>
      </c>
    </row>
    <row r="21" spans="1:5" x14ac:dyDescent="0.35">
      <c r="A21" s="2">
        <v>46073</v>
      </c>
      <c r="B21" s="8">
        <v>47.1</v>
      </c>
      <c r="C21" s="8">
        <v>406.01</v>
      </c>
      <c r="D21" s="10">
        <v>11962.84</v>
      </c>
      <c r="E21" s="10">
        <v>11963.49</v>
      </c>
    </row>
    <row r="22" spans="1:5" x14ac:dyDescent="0.35">
      <c r="A22" s="2">
        <v>46074</v>
      </c>
      <c r="B22" s="8">
        <v>47.1</v>
      </c>
      <c r="C22" s="8">
        <v>406.01</v>
      </c>
      <c r="D22" s="10">
        <v>11962.84</v>
      </c>
      <c r="E22" s="10">
        <v>11963.49</v>
      </c>
    </row>
    <row r="23" spans="1:5" x14ac:dyDescent="0.35">
      <c r="A23" s="2">
        <v>46075</v>
      </c>
      <c r="B23" s="8">
        <v>47.1</v>
      </c>
      <c r="C23" s="8">
        <v>406.01</v>
      </c>
      <c r="D23" s="10">
        <v>11962.84</v>
      </c>
      <c r="E23" s="10">
        <v>11963.49</v>
      </c>
    </row>
    <row r="24" spans="1:5" x14ac:dyDescent="0.35">
      <c r="A24" s="2">
        <v>46076</v>
      </c>
      <c r="B24" s="8">
        <v>47.1</v>
      </c>
      <c r="C24" s="8">
        <v>405</v>
      </c>
      <c r="D24" s="10">
        <v>11942.04</v>
      </c>
      <c r="E24" s="10">
        <v>11942.69</v>
      </c>
    </row>
    <row r="25" spans="1:5" x14ac:dyDescent="0.35">
      <c r="A25" s="2">
        <v>46077</v>
      </c>
      <c r="B25" s="8">
        <v>47.1</v>
      </c>
      <c r="C25" s="8">
        <v>403.87</v>
      </c>
      <c r="D25" s="10">
        <v>11918.84</v>
      </c>
      <c r="E25" s="10">
        <v>11919.49</v>
      </c>
    </row>
    <row r="26" spans="1:5" x14ac:dyDescent="0.35">
      <c r="A26" s="2">
        <v>46078</v>
      </c>
      <c r="B26" s="8">
        <v>47.1</v>
      </c>
      <c r="C26" s="8">
        <v>402.78</v>
      </c>
      <c r="D26" s="10">
        <v>11896.46</v>
      </c>
      <c r="E26" s="10">
        <v>11897.11</v>
      </c>
    </row>
    <row r="27" spans="1:5" x14ac:dyDescent="0.35">
      <c r="A27" s="2">
        <v>46079</v>
      </c>
      <c r="B27" s="8">
        <v>47.1</v>
      </c>
      <c r="C27" s="8">
        <v>401.64</v>
      </c>
      <c r="D27" s="10">
        <v>11873.02</v>
      </c>
      <c r="E27" s="10">
        <v>11873.67</v>
      </c>
    </row>
    <row r="28" spans="1:5" x14ac:dyDescent="0.35">
      <c r="A28" s="2">
        <v>46080</v>
      </c>
      <c r="B28" s="8">
        <v>47.1</v>
      </c>
      <c r="C28" s="8">
        <v>400.96</v>
      </c>
      <c r="D28" s="10">
        <v>11859.03</v>
      </c>
      <c r="E28" s="10">
        <v>11859.67</v>
      </c>
    </row>
    <row r="29" spans="1:5" x14ac:dyDescent="0.35">
      <c r="A29" s="2">
        <v>46081</v>
      </c>
      <c r="B29" s="8">
        <v>47.1</v>
      </c>
      <c r="C29" s="8">
        <v>400.96</v>
      </c>
      <c r="D29" s="10">
        <v>11859.03</v>
      </c>
      <c r="E29" s="10">
        <v>11859.67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</vt:lpstr>
      <vt:lpstr>LOW</vt:lpstr>
      <vt:lpstr>HIGH</vt:lpstr>
      <vt:lpstr>CLOSED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Sherif, Zeina</cp:lastModifiedBy>
  <dcterms:created xsi:type="dcterms:W3CDTF">2026-02-02T12:26:50Z</dcterms:created>
  <dcterms:modified xsi:type="dcterms:W3CDTF">2026-02-04T13:44:19Z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2026-02-02T12:27:05Z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3fe7d374-c5b7-49f1-9225-12fc25ec21da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